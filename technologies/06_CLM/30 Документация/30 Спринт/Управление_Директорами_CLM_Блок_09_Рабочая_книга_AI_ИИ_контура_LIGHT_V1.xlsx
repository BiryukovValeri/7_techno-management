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Панель" sheetId="1" state="visible" r:id="rId1"/>
    <sheet xmlns:r="http://schemas.openxmlformats.org/officeDocument/2006/relationships" name="01_Ввод" sheetId="2" state="visible" r:id="rId2"/>
    <sheet xmlns:r="http://schemas.openxmlformats.org/officeDocument/2006/relationships" name="02_Сценарии" sheetId="3" state="visible" r:id="rId3"/>
    <sheet xmlns:r="http://schemas.openxmlformats.org/officeDocument/2006/relationships" name="03_Контроль" sheetId="4" state="visible" r:id="rId4"/>
    <sheet xmlns:r="http://schemas.openxmlformats.org/officeDocument/2006/relationships" name="04_Расчет" sheetId="5" state="visible" r:id="rId5"/>
    <sheet xmlns:r="http://schemas.openxmlformats.org/officeDocument/2006/relationships" name="05_Отчет" sheetId="6" state="visible" r:id="rId6"/>
    <sheet xmlns:r="http://schemas.openxmlformats.org/officeDocument/2006/relationships" name="90_Справочник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rlito"/>
      <sz val="11"/>
    </font>
    <font>
      <name val="Carlito"/>
      <b val="1"/>
      <color rgb="FFFFFFFF"/>
      <sz val="11"/>
    </font>
    <font>
      <name val="Carlito"/>
      <color rgb="FF111827"/>
      <sz val="10"/>
    </font>
    <font>
      <name val="Carlito"/>
      <b val="1"/>
      <color rgb="FF0B1F33"/>
      <sz val="16"/>
    </font>
    <font>
      <name val="Carlito"/>
      <b val="1"/>
      <color rgb="FF0F766E"/>
      <sz val="11"/>
    </font>
    <font>
      <name val="Carlito"/>
      <b val="1"/>
      <color rgb="FF0B1F33"/>
      <sz val="11"/>
    </font>
    <font>
      <name val="Arial"/>
      <b val="1"/>
      <color rgb="000B1F33"/>
      <sz val="16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B1F33"/>
      <sz val="11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0F766E"/>
      </patternFill>
    </fill>
    <fill>
      <patternFill patternType="solid">
        <fgColor rgb="00F3EBDD"/>
      </patternFill>
    </fill>
    <fill>
      <patternFill patternType="solid">
        <fgColor rgb="00FFF7ED"/>
      </patternFill>
    </fill>
  </fills>
  <borders count="9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</border>
    <border>
      <right style="thin">
        <color rgb="00CBD5E1"/>
      </right>
      <top style="thin">
        <color rgb="00CBD5E1"/>
      </top>
    </border>
    <border>
      <top style="thin">
        <color rgb="00CBD5E1"/>
      </top>
      <bottom style="thin">
        <color rgb="00CBD5E1"/>
      </bottom>
    </border>
    <border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DBA74"/>
      </left>
      <right style="thin">
        <color rgb="00FDBA74"/>
      </right>
      <top style="thin">
        <color rgb="00FDBA74"/>
      </top>
      <bottom style="thin">
        <color rgb="00FDBA7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164" fontId="2" fillId="0" borderId="2" applyAlignment="1" pivotButton="0" quotePrefix="0" xfId="0">
      <alignment wrapText="1"/>
    </xf>
    <xf numFmtId="0" fontId="4" fillId="0" borderId="0" pivotButton="0" quotePrefix="0" xfId="0"/>
    <xf numFmtId="9" fontId="2" fillId="0" borderId="1" applyAlignment="1" pivotButton="0" quotePrefix="0" xfId="0">
      <alignment wrapText="1"/>
    </xf>
    <xf numFmtId="1" fontId="2" fillId="0" borderId="1" applyAlignment="1" pivotButton="0" quotePrefix="0" xfId="0">
      <alignment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7" fillId="2" borderId="3" applyAlignment="1" pivotButton="0" quotePrefix="0" xfId="0">
      <alignment vertical="center" wrapText="1"/>
    </xf>
    <xf numFmtId="0" fontId="8" fillId="0" borderId="3" applyAlignment="1" pivotButton="0" quotePrefix="0" xfId="0">
      <alignment vertical="center" wrapText="1"/>
    </xf>
    <xf numFmtId="9" fontId="8" fillId="0" borderId="3" applyAlignment="1" pivotButton="0" quotePrefix="0" xfId="0">
      <alignment vertical="center" wrapText="1"/>
    </xf>
    <xf numFmtId="1" fontId="8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0" fontId="7" fillId="3" borderId="3" applyAlignment="1" pivotButton="0" quotePrefix="0" xfId="0">
      <alignment vertical="center" wrapText="1"/>
    </xf>
    <xf numFmtId="0" fontId="8" fillId="5" borderId="3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8" fillId="5" borderId="8" applyAlignment="1" pivotButton="0" quotePrefix="0" xfId="0">
      <alignment vertical="center" wrapText="1"/>
    </xf>
    <xf numFmtId="164" fontId="8" fillId="5" borderId="8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CLM</author>
  </authors>
  <commentList>
    <comment ref="B5" authorId="0" shapeId="0">
      <text>
        <t>Доля заполненного шлюза допуска AI / ИИ-сценариев.</t>
      </text>
    </comment>
    <comment ref="B6" authorId="0" shapeId="0">
      <text>
        <t>Количество сценариев, которые можно запускать после проверки.</t>
      </text>
    </comment>
    <comment ref="B7" authorId="0" shapeId="0">
      <text>
        <t>NO-GO / не запускать до достаточного заполнения не выводится как ложный ноль.</t>
      </text>
    </comment>
    <comment ref="B8" authorId="0" shapeId="0">
      <text>
        <t>Критичные зоны данных, контроля, fallback / резерва или риска.</t>
      </text>
    </comment>
    <comment ref="B9" authorId="0" shapeId="0">
      <text>
        <t>AI / ИИ Readiness Score: готовность контура к управляемому запуску.</t>
      </text>
    </comment>
    <comment ref="B10" authorId="0" shapeId="0">
      <text>
        <t>Итоговый статус блока.</t>
      </text>
    </comment>
  </commentList>
</comments>
</file>

<file path=xl/comments/comment2.xml><?xml version="1.0" encoding="utf-8"?>
<comments xmlns="http://schemas.openxmlformats.org/spreadsheetml/2006/main">
  <authors>
    <author>CLM</author>
  </authors>
  <commentList>
    <comment ref="B4" authorId="0" shapeId="0">
      <text>
        <t>Название клиента или проекта.</t>
      </text>
    </comment>
    <comment ref="B5" authorId="0" shapeId="0">
      <text>
        <t>Дата запуска Блока 9.</t>
      </text>
    </comment>
    <comment ref="B6" authorId="0" shapeId="0">
      <text>
        <t>Какая часть Decision OS / системы решений готова принять AI / ИИ-вывод.</t>
      </text>
    </comment>
    <comment ref="B7" authorId="0" shapeId="0">
      <text>
        <t>Какие данные и синхронизация уже проверены.</t>
      </text>
    </comment>
    <comment ref="B8" authorId="0" shapeId="0">
      <text>
        <t>Какой риск устойчивости или отказа пришел из Блока 7.</t>
      </text>
    </comment>
    <comment ref="B9" authorId="0" shapeId="0">
      <text>
        <t>Какой лидерский мандат из Блока 8 позволяет или блокирует AI / ИИ.</t>
      </text>
    </comment>
    <comment ref="B10" authorId="0" shapeId="0">
      <text>
        <t>Главная управленческая задача, а не технологический интерес.</t>
      </text>
    </comment>
    <comment ref="B11" authorId="0" shapeId="0">
      <text>
        <t>C-level-владелец эффекта и риска.</t>
      </text>
    </comment>
    <comment ref="B12" authorId="0" shapeId="0">
      <text>
        <t>Кто отвечает за данные, риск и контроль.</t>
      </text>
    </comment>
  </commentList>
</comments>
</file>

<file path=xl/comments/comment3.xml><?xml version="1.0" encoding="utf-8"?>
<comments xmlns="http://schemas.openxmlformats.org/spreadsheetml/2006/main">
  <authors>
    <author>CLM</author>
  </authors>
  <commentList>
    <comment ref="C3" authorId="0" shapeId="0">
      <text>
        <t>C-level-владелец сценария: не IT-поставщик, а роль, отвечающая за эффект и риск.</t>
      </text>
    </comment>
    <comment ref="D3" authorId="0" shapeId="0">
      <text>
        <t>Где AI / ИИ включается в Decision OS / систему решений.</t>
      </text>
    </comment>
    <comment ref="E3" authorId="0" shapeId="0">
      <text>
        <t>0 — данных нет; 3 — данные готовы и проверены.</t>
      </text>
    </comment>
    <comment ref="F3" authorId="0" shapeId="0">
      <text>
        <t>0 — мандата нет; 3 — владелец имеет право решения.</t>
      </text>
    </comment>
    <comment ref="G3" authorId="0" shapeId="0">
      <text>
        <t>0 — проверки нет; 3 — человек в контуре или над контуром закреплен.</t>
      </text>
    </comment>
    <comment ref="H3" authorId="0" shapeId="0">
      <text>
        <t>0 — экономики нет; 3 — эффект и цена ошибки проверяемы.</t>
      </text>
    </comment>
    <comment ref="I3" authorId="0" shapeId="0">
      <text>
        <t>Да — сценарий нарушает запрет и получает NO-GO / не запускать.</t>
      </text>
    </comment>
    <comment ref="J3" authorId="0" shapeId="0">
      <text>
        <t>Факт, источник или короткое объяснение.</t>
      </text>
    </comment>
    <comment ref="K3" authorId="0" shapeId="0">
      <text>
        <t>Автоматический балл допуска. Не заполнять вручную.</t>
      </text>
    </comment>
    <comment ref="L3" authorId="0" shapeId="0">
      <text>
        <t>Автоматический статус допуска.</t>
      </text>
    </comment>
    <comment ref="I4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4" authorId="0" shapeId="0">
      <text>
        <t>Без факта сценарий должен оставаться в HOLD / пауза или NO-GO / не запускать.</t>
      </text>
    </comment>
    <comment ref="I5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5" authorId="0" shapeId="0">
      <text>
        <t>Без факта сценарий должен оставаться в HOLD / пауза или NO-GO / не запускать.</t>
      </text>
    </comment>
    <comment ref="I6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6" authorId="0" shapeId="0">
      <text>
        <t>Без факта сценарий должен оставаться в HOLD / пауза или NO-GO / не запускать.</t>
      </text>
    </comment>
    <comment ref="I7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7" authorId="0" shapeId="0">
      <text>
        <t>Без факта сценарий должен оставаться в HOLD / пауза или NO-GO / не запускать.</t>
      </text>
    </comment>
    <comment ref="I8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8" authorId="0" shapeId="0">
      <text>
        <t>Без факта сценарий должен оставаться в HOLD / пауза или NO-GO / не запускать.</t>
      </text>
    </comment>
    <comment ref="I9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9" authorId="0" shapeId="0">
      <text>
        <t>Без факта сценарий должен оставаться в HOLD / пауза или NO-GO / не запускать.</t>
      </text>
    </comment>
    <comment ref="I10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10" authorId="0" shapeId="0">
      <text>
        <t>Без факта сценарий должен оставаться в HOLD / пауза или NO-GO / не запускать.</t>
      </text>
    </comment>
    <comment ref="I11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11" authorId="0" shapeId="0">
      <text>
        <t>Без факта сценарий должен оставаться в HOLD / пауза или NO-GO / не запускать.</t>
      </text>
    </comment>
    <comment ref="I12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12" authorId="0" shapeId="0">
      <text>
        <t>Без факта сценарий должен оставаться в HOLD / пауза или NO-GO / не запускать.</t>
      </text>
    </comment>
    <comment ref="I13" authorId="0" shapeId="0">
      <text>
        <t>Kill-list / список запретов: подмена решения, нет владельца, нет данных, нет контроля, высокий неуправляемый риск.</t>
      </text>
    </comment>
    <comment ref="J13" authorId="0" shapeId="0">
      <text>
        <t>Без факта сценарий должен оставаться в HOLD / пауза или NO-GO / не запускать.</t>
      </text>
    </comment>
  </commentList>
</comments>
</file>

<file path=xl/comments/comment4.xml><?xml version="1.0" encoding="utf-8"?>
<comments xmlns="http://schemas.openxmlformats.org/spreadsheetml/2006/main">
  <authors>
    <author>CLM</author>
  </authors>
  <commentList>
    <comment ref="B3" authorId="0" shapeId="0">
      <text>
        <t>Источник данных: SSOT / единая версия правды, BI, ERP, CRM, протоколы или иной проверенный источник.</t>
      </text>
    </comment>
    <comment ref="C3" authorId="0" shapeId="0">
      <text>
        <t>0 — данные непригодны; 3 — данные качественные и проверены.</t>
      </text>
    </comment>
    <comment ref="D3" authorId="0" shapeId="0">
      <text>
        <t>Можно ли восстановить, какие данные повлияли на вывод AI / ИИ.</t>
      </text>
    </comment>
    <comment ref="E3" authorId="0" shapeId="0">
      <text>
        <t>Кто проверяет AI / ИИ-вывод перед управленческим решением.</t>
      </text>
    </comment>
    <comment ref="F3" authorId="0" shapeId="0">
      <text>
        <t>0 — контроля нет; 3 — контроль встроен в регулярный процесс.</t>
      </text>
    </comment>
    <comment ref="G3" authorId="0" shapeId="0">
      <text>
        <t>1 — есть рабочий резервный маршрут без AI / ИИ; 0 — нет.</t>
      </text>
    </comment>
    <comment ref="H3" authorId="0" shapeId="0">
      <text>
        <t>Ожидаемый эффект: скорость, качество, ранний сигнал, снижение потерь.</t>
      </text>
    </comment>
    <comment ref="I3" authorId="0" shapeId="0">
      <text>
        <t>0 — низкая стоимость/сложность; 3 — высокая стоимость/сложность.</t>
      </text>
    </comment>
    <comment ref="J3" authorId="0" shapeId="0">
      <text>
        <t>0 — низкая цена ошибки; 3 — высокая цена ошибки.</t>
      </text>
    </comment>
    <comment ref="K3" authorId="0" shapeId="0">
      <text>
        <t>Автоматический балл контроля. Не заполнять вручную.</t>
      </text>
    </comment>
    <comment ref="L3" authorId="0" shapeId="0">
      <text>
        <t>Автоматический статус контроля.</t>
      </text>
    </comment>
    <comment ref="G4" authorId="0" shapeId="0">
      <text>
        <t>Fallback / резерв обязателен, если сбой AI / ИИ может остановить процесс или исказить решение.</t>
      </text>
    </comment>
    <comment ref="J4" authorId="0" shapeId="0">
      <text>
        <t>Риск ошибки должен учитывать деньги, клиента, людей, право, репутацию и управляемость.</t>
      </text>
    </comment>
    <comment ref="G5" authorId="0" shapeId="0">
      <text>
        <t>Fallback / резерв обязателен, если сбой AI / ИИ может остановить процесс или исказить решение.</t>
      </text>
    </comment>
    <comment ref="J5" authorId="0" shapeId="0">
      <text>
        <t>Риск ошибки должен учитывать деньги, клиента, людей, право, репутацию и управляемость.</t>
      </text>
    </comment>
    <comment ref="G6" authorId="0" shapeId="0">
      <text>
        <t>Fallback / резерв обязателен, если сбой AI / ИИ может остановить процесс или исказить решение.</t>
      </text>
    </comment>
    <comment ref="J6" authorId="0" shapeId="0">
      <text>
        <t>Риск ошибки должен учитывать деньги, клиента, людей, право, репутацию и управляемость.</t>
      </text>
    </comment>
    <comment ref="G7" authorId="0" shapeId="0">
      <text>
        <t>Fallback / резерв обязателен, если сбой AI / ИИ может остановить процесс или исказить решение.</t>
      </text>
    </comment>
    <comment ref="J7" authorId="0" shapeId="0">
      <text>
        <t>Риск ошибки должен учитывать деньги, клиента, людей, право, репутацию и управляемость.</t>
      </text>
    </comment>
    <comment ref="G8" authorId="0" shapeId="0">
      <text>
        <t>Fallback / резерв обязателен, если сбой AI / ИИ может остановить процесс или исказить решение.</t>
      </text>
    </comment>
    <comment ref="J8" authorId="0" shapeId="0">
      <text>
        <t>Риск ошибки должен учитывать деньги, клиента, людей, право, репутацию и управляемость.</t>
      </text>
    </comment>
    <comment ref="G9" authorId="0" shapeId="0">
      <text>
        <t>Fallback / резерв обязателен, если сбой AI / ИИ может остановить процесс или исказить решение.</t>
      </text>
    </comment>
    <comment ref="J9" authorId="0" shapeId="0">
      <text>
        <t>Риск ошибки должен учитывать деньги, клиента, людей, право, репутацию и управляемость.</t>
      </text>
    </comment>
    <comment ref="G10" authorId="0" shapeId="0">
      <text>
        <t>Fallback / резерв обязателен, если сбой AI / ИИ может остановить процесс или исказить решение.</t>
      </text>
    </comment>
    <comment ref="J10" authorId="0" shapeId="0">
      <text>
        <t>Риск ошибки должен учитывать деньги, клиента, людей, право, репутацию и управляемость.</t>
      </text>
    </comment>
    <comment ref="G11" authorId="0" shapeId="0">
      <text>
        <t>Fallback / резерв обязателен, если сбой AI / ИИ может остановить процесс или исказить решение.</t>
      </text>
    </comment>
    <comment ref="J11" authorId="0" shapeId="0">
      <text>
        <t>Риск ошибки должен учитывать деньги, клиента, людей, право, репутацию и управляемость.</t>
      </text>
    </comment>
    <comment ref="G12" authorId="0" shapeId="0">
      <text>
        <t>Fallback / резерв обязателен, если сбой AI / ИИ может остановить процесс или исказить решение.</t>
      </text>
    </comment>
    <comment ref="J12" authorId="0" shapeId="0">
      <text>
        <t>Риск ошибки должен учитывать деньги, клиента, людей, право, репутацию и управляемость.</t>
      </text>
    </comment>
    <comment ref="G13" authorId="0" shapeId="0">
      <text>
        <t>Fallback / резерв обязателен, если сбой AI / ИИ может остановить процесс или исказить решение.</t>
      </text>
    </comment>
    <comment ref="J13" authorId="0" shapeId="0">
      <text>
        <t>Риск ошибки должен учитывать деньги, клиента, людей, право, репутацию и управляемость.</t>
      </text>
    </comment>
  </commentList>
</comments>
</file>

<file path=xl/comments/comment5.xml><?xml version="1.0" encoding="utf-8"?>
<comments xmlns="http://schemas.openxmlformats.org/spreadsheetml/2006/main">
  <authors>
    <author>CLM</author>
  </authors>
  <commentList>
    <comment ref="B4" authorId="0" shapeId="0">
      <text>
        <t>Расчетная ячейка. Не заполнять вручную.</t>
      </text>
    </comment>
    <comment ref="B5" authorId="0" shapeId="0">
      <text>
        <t>Расчетная ячейка. Не заполнять вручную.</t>
      </text>
    </comment>
    <comment ref="B6" authorId="0" shapeId="0">
      <text>
        <t>Расчетная ячейка. Не заполнять вручную.</t>
      </text>
    </comment>
    <comment ref="B7" authorId="0" shapeId="0">
      <text>
        <t>Расчетная ячейка. Не заполнять вручную.</t>
      </text>
    </comment>
    <comment ref="B8" authorId="0" shapeId="0">
      <text>
        <t>Расчетная ячейка. Не заполнять вручную.</t>
      </text>
    </comment>
    <comment ref="B9" authorId="0" shapeId="0">
      <text>
        <t>Расчетная ячейка. Не заполнять вручную.</t>
      </text>
    </comment>
    <comment ref="B10" authorId="0" shapeId="0">
      <text>
        <t>Расчетная ячейка. Не заполнять вручную.</t>
      </text>
    </comment>
    <comment ref="B11" authorId="0" shapeId="0">
      <text>
        <t>Расчетная ячейка. Не заполнять вручную.</t>
      </text>
    </comment>
    <comment ref="B12" authorId="0" shapeId="0">
      <text>
        <t>Расчетная ячейка. Не заполнять вручную.</t>
      </text>
    </comment>
    <comment ref="B13" authorId="0" shapeId="0">
      <text>
        <t>Расчетная ячейка. Не заполнять вручную.</t>
      </text>
    </comment>
    <comment ref="B14" authorId="0" shapeId="0">
      <text>
        <t>Расчетная ячейка. Не заполнять вручную.</t>
      </text>
    </comment>
    <comment ref="B15" authorId="0" shapeId="0">
      <text>
        <t>Расчетная ячейка. Не заполнять вручную.</t>
      </text>
    </comment>
    <comment ref="B16" authorId="0" shapeId="0">
      <text>
        <t>Расчетная ячейка. Не заполнять вручную.</t>
      </text>
    </comment>
  </commentList>
</comments>
</file>

<file path=xl/comments/comment6.xml><?xml version="1.0" encoding="utf-8"?>
<comments xmlns="http://schemas.openxmlformats.org/spreadsheetml/2006/main">
  <authors>
    <author>CLM</author>
  </authors>
  <commentList>
    <comment ref="B8" authorId="0" shapeId="0">
      <text>
        <t>Выберите следующий блок по главному выводу. Обычно после Блока 9 — Блок 10.</t>
      </text>
    </comment>
    <comment ref="B10" authorId="0" shapeId="0">
      <text>
        <t>Первое действие должно закрыть допуск, владельца, данные, контроль или риск.</t>
      </text>
    </comment>
  </commentList>
</comments>
</file>

<file path=xl/comments/comment7.xml><?xml version="1.0" encoding="utf-8"?>
<comments xmlns="http://schemas.openxmlformats.org/spreadsheetml/2006/main">
  <authors>
    <author>CLM</author>
  </authors>
  <commentList>
    <comment ref="A1" authorId="0" shapeId="0">
      <text>
        <t>Типовые AI / ИИ-сценарии для проверки допуска.</t>
      </text>
    </comment>
    <comment ref="D1" authorId="0" shapeId="0">
      <text>
        <t>Этапы Decision OS / системы решений.</t>
      </text>
    </comment>
    <comment ref="G1" authorId="0" shapeId="0">
      <text>
        <t>Следующий блок выбирается после расчета и управленческого вывода.</t>
      </text>
    </comment>
  </commentList>
</comment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8" customWidth="1" style="1" min="1" max="1"/>
    <col width="24" customWidth="1" style="1" min="2" max="2"/>
    <col width="24" customWidth="1" style="1" min="3" max="3"/>
    <col width="54" customWidth="1" style="1" min="4" max="4"/>
    <col width="10" customWidth="1" style="1" min="5" max="5"/>
    <col width="10" customWidth="1" style="1" min="6" max="6"/>
    <col width="10" customWidth="1" style="1" min="7" max="7"/>
    <col width="10" customWidth="1" style="1" min="8" max="8"/>
  </cols>
  <sheetData>
    <row r="1">
      <c r="A1" s="16" t="inlineStr">
        <is>
          <t>CLM Блок 9. Панель AI / ИИ-контура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Комментарий</t>
        </is>
      </c>
      <c r="E3" s="17" t="n"/>
      <c r="F3" s="17" t="n"/>
      <c r="G3" s="17" t="n"/>
      <c r="H3" s="17" t="n"/>
    </row>
    <row r="4">
      <c r="A4" s="19" t="inlineStr">
        <is>
          <t>Клиент</t>
        </is>
      </c>
      <c r="B4" s="19">
        <f>IF('01_Ввод'!B4="","",'01_Ввод'!B4)</f>
        <v/>
      </c>
      <c r="C4" s="19" t="str"/>
      <c r="D4" s="19" t="str"/>
      <c r="E4" s="17" t="n"/>
      <c r="F4" s="17" t="n"/>
      <c r="G4" s="17" t="n"/>
      <c r="H4" s="17" t="n"/>
    </row>
    <row r="5">
      <c r="A5" s="19" t="inlineStr">
        <is>
          <t>Заполненность допуска</t>
        </is>
      </c>
      <c r="B5" s="20">
        <f>'04_Расчет'!B4</f>
        <v/>
      </c>
      <c r="C5" s="19" t="inlineStr">
        <is>
          <t>80%+</t>
        </is>
      </c>
      <c r="D5" s="19" t="str"/>
      <c r="E5" s="17" t="n"/>
      <c r="F5" s="17" t="n"/>
      <c r="G5" s="17" t="n"/>
      <c r="H5" s="17" t="n"/>
    </row>
    <row r="6">
      <c r="A6" s="19" t="inlineStr">
        <is>
          <t>Сценариев GO / запускать</t>
        </is>
      </c>
      <c r="B6" s="19">
        <f>'04_Расчет'!B5</f>
        <v/>
      </c>
      <c r="C6" s="19" t="inlineStr">
        <is>
          <t>1+</t>
        </is>
      </c>
      <c r="D6" s="19" t="str"/>
      <c r="E6" s="17" t="n"/>
      <c r="F6" s="17" t="n"/>
      <c r="G6" s="17" t="n"/>
      <c r="H6" s="17" t="n"/>
    </row>
    <row r="7">
      <c r="A7" s="19" t="inlineStr">
        <is>
          <t>Сценариев NO-GO / не запускать</t>
        </is>
      </c>
      <c r="B7" s="19">
        <f>IF('04_Расчет'!B12="","Нет данных",'04_Расчет'!B7)</f>
        <v/>
      </c>
      <c r="C7" s="19" t="inlineStr">
        <is>
          <t>0</t>
        </is>
      </c>
      <c r="D7" s="19" t="str"/>
      <c r="E7" s="17" t="n"/>
      <c r="F7" s="17" t="n"/>
      <c r="G7" s="17" t="n"/>
      <c r="H7" s="17" t="n"/>
    </row>
    <row r="8">
      <c r="A8" s="19" t="inlineStr">
        <is>
          <t>Критичные зоны контроля</t>
        </is>
      </c>
      <c r="B8" s="19">
        <f>IF('04_Расчет'!B12="","Нет данных",'04_Расчет'!B11)</f>
        <v/>
      </c>
      <c r="C8" s="19" t="inlineStr">
        <is>
          <t>0</t>
        </is>
      </c>
      <c r="D8" s="19" t="str"/>
      <c r="E8" s="17" t="n"/>
      <c r="F8" s="17" t="n"/>
      <c r="G8" s="17" t="n"/>
      <c r="H8" s="17" t="n"/>
    </row>
    <row r="9">
      <c r="A9" s="19" t="inlineStr">
        <is>
          <t>AI / ИИ Readiness Score</t>
        </is>
      </c>
      <c r="B9" s="21">
        <f>'04_Расчет'!B12</f>
        <v/>
      </c>
      <c r="C9" s="19" t="inlineStr">
        <is>
          <t>75+</t>
        </is>
      </c>
      <c r="D9" s="19" t="str"/>
      <c r="E9" s="17" t="n"/>
      <c r="F9" s="17" t="n"/>
      <c r="G9" s="17" t="n"/>
      <c r="H9" s="17" t="n"/>
    </row>
    <row r="10">
      <c r="A10" s="19" t="inlineStr">
        <is>
          <t>Статус</t>
        </is>
      </c>
      <c r="B10" s="19">
        <f>'04_Расчет'!B13</f>
        <v/>
      </c>
      <c r="C10" s="19" t="inlineStr">
        <is>
          <t>GO / HOLD / NO-GO</t>
        </is>
      </c>
      <c r="D10" s="19" t="str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Контроль заполнения</t>
        </is>
      </c>
      <c r="E12" s="17" t="n"/>
      <c r="F12" s="23" t="inlineStr">
        <is>
          <t>Что проверяет Блок 9</t>
        </is>
      </c>
    </row>
    <row r="13">
      <c r="A13" s="24" t="inlineStr">
        <is>
          <t>Слой</t>
        </is>
      </c>
      <c r="B13" s="24" t="inlineStr">
        <is>
          <t>Заполненность / число</t>
        </is>
      </c>
      <c r="C13" s="24" t="inlineStr">
        <is>
          <t>Норма</t>
        </is>
      </c>
      <c r="D13" s="24" t="inlineStr">
        <is>
          <t>Комментарий</t>
        </is>
      </c>
      <c r="E13" s="17" t="n"/>
      <c r="F13" s="25" t="inlineStr">
        <is>
          <t>Блок 9 проверяет управленческий допуск AI / ИИ, а не выбор модной платформы.</t>
        </is>
      </c>
      <c r="G13" s="31" t="n"/>
      <c r="H13" s="32" t="n"/>
    </row>
    <row r="14">
      <c r="A14" s="19" t="inlineStr">
        <is>
          <t>Допуск сценариев</t>
        </is>
      </c>
      <c r="B14" s="20">
        <f>'04_Расчет'!B4</f>
        <v/>
      </c>
      <c r="C14" s="19" t="inlineStr">
        <is>
          <t>80%+</t>
        </is>
      </c>
      <c r="D14" s="19" t="str"/>
      <c r="E14" s="17" t="n"/>
      <c r="F14" s="25" t="inlineStr">
        <is>
          <t>Сценарий запускается только при понятной задаче, владельце, данных, человеческом контроле, экономике и риске.</t>
        </is>
      </c>
      <c r="G14" s="31" t="n"/>
      <c r="H14" s="32" t="n"/>
    </row>
    <row r="15">
      <c r="A15" s="19" t="inlineStr">
        <is>
          <t>Контроль данных и риска</t>
        </is>
      </c>
      <c r="B15" s="20">
        <f>'04_Расчет'!B9</f>
        <v/>
      </c>
      <c r="C15" s="19" t="inlineStr">
        <is>
          <t>80%+</t>
        </is>
      </c>
      <c r="D15" s="19" t="str"/>
      <c r="E15" s="17" t="n"/>
      <c r="F15" s="25" t="inlineStr">
        <is>
          <t>AI / ИИ готовит, сравнивает и предупреждает. Решение принимает роль с мандатом.</t>
        </is>
      </c>
      <c r="G15" s="31" t="n"/>
      <c r="H15" s="32" t="n"/>
    </row>
    <row r="16">
      <c r="A16" s="19" t="inlineStr">
        <is>
          <t>NO-GO + критичные зоны</t>
        </is>
      </c>
      <c r="B16" s="19">
        <f>IF('04_Расчет'!B12="","Нет данных",'04_Расчет'!B7+'04_Расчет'!B11)</f>
        <v/>
      </c>
      <c r="C16" s="19" t="inlineStr">
        <is>
          <t>0</t>
        </is>
      </c>
      <c r="D16" s="19" t="str"/>
      <c r="E16" s="17" t="n"/>
      <c r="F16" s="17" t="n"/>
      <c r="G16" s="17" t="n"/>
      <c r="H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</row>
    <row r="18">
      <c r="A18" s="28" t="inlineStr">
        <is>
          <t>Как пользоваться</t>
        </is>
      </c>
    </row>
    <row r="19">
      <c r="A19" s="19" t="inlineStr">
        <is>
          <t>1. Заполните 01_Ввод: входы из Блоков 5–8, владелец и главная управленческая задача.</t>
        </is>
      </c>
      <c r="B19" s="19" t="str"/>
      <c r="C19" s="19" t="str"/>
      <c r="D19" s="19" t="str"/>
      <c r="E19" s="19" t="str"/>
      <c r="F19" s="19" t="str"/>
      <c r="G19" s="19" t="str"/>
      <c r="H19" s="19" t="str"/>
    </row>
    <row r="20">
      <c r="A20" s="19" t="inlineStr">
        <is>
          <t>2. На 02_Сценарии проверьте каждый AI / ИИ-сценарий через задачу, владельца, данные, контроль, экономику и Kill-list.</t>
        </is>
      </c>
      <c r="B20" s="19" t="str"/>
      <c r="C20" s="19" t="str"/>
      <c r="D20" s="19" t="str"/>
      <c r="E20" s="19" t="str"/>
      <c r="F20" s="19" t="str"/>
      <c r="G20" s="19" t="str"/>
      <c r="H20" s="19" t="str"/>
    </row>
    <row r="21">
      <c r="A21" s="19" t="inlineStr">
        <is>
          <t>3. На 03_Контроль проверьте данные, след решения, человека в контуре, fallback / резерв и риск ошибки.</t>
        </is>
      </c>
      <c r="B21" s="19" t="str"/>
      <c r="C21" s="19" t="str"/>
      <c r="D21" s="19" t="str"/>
      <c r="E21" s="19" t="str"/>
      <c r="F21" s="19" t="str"/>
      <c r="G21" s="19" t="str"/>
      <c r="H21" s="19" t="str"/>
    </row>
    <row r="22">
      <c r="A22" s="19" t="inlineStr">
        <is>
          <t>4. 04_Расчет не заполняется вручную.</t>
        </is>
      </c>
      <c r="B22" s="19" t="str"/>
      <c r="C22" s="19" t="str"/>
      <c r="D22" s="19" t="str"/>
      <c r="E22" s="19" t="str"/>
      <c r="F22" s="19" t="str"/>
      <c r="G22" s="19" t="str"/>
      <c r="H22" s="19" t="str"/>
    </row>
    <row r="23">
      <c r="A23" s="19" t="inlineStr">
        <is>
          <t>5. На 05_Отчет выберите следующий блок: чаще всего Блок 10 для панели управляемости.</t>
        </is>
      </c>
      <c r="B23" s="19" t="str"/>
      <c r="C23" s="19" t="str"/>
      <c r="D23" s="19" t="str"/>
      <c r="E23" s="19" t="str"/>
      <c r="F23" s="19" t="str"/>
      <c r="G23" s="19" t="str"/>
      <c r="H23" s="19" t="str"/>
    </row>
  </sheetData>
  <mergeCells count="7">
    <mergeCell ref="A18:H18"/>
    <mergeCell ref="F14:H14"/>
    <mergeCell ref="F13:H13"/>
    <mergeCell ref="A12:D12"/>
    <mergeCell ref="F12:H12"/>
    <mergeCell ref="A1:H1"/>
    <mergeCell ref="F15:H15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92" customWidth="1" style="1" min="2" max="2"/>
    <col width="12" customWidth="1" style="1" min="3" max="3"/>
    <col width="12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CLM Блок 9. Ввод AI / ИИ-контура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18" t="inlineStr">
        <is>
          <t>Поле</t>
        </is>
      </c>
      <c r="B3" s="18" t="inlineStr">
        <is>
          <t>Значение</t>
        </is>
      </c>
      <c r="C3" s="17" t="n"/>
      <c r="D3" s="17" t="n"/>
      <c r="E3" s="17" t="n"/>
      <c r="F3" s="17" t="n"/>
      <c r="G3" s="17" t="n"/>
      <c r="H3" s="17" t="n"/>
    </row>
    <row r="4">
      <c r="A4" s="19" t="inlineStr">
        <is>
          <t>Клиент</t>
        </is>
      </c>
      <c r="B4" s="29" t="str"/>
      <c r="C4" s="17" t="n"/>
      <c r="D4" s="17" t="n"/>
      <c r="E4" s="17" t="n"/>
      <c r="F4" s="17" t="n"/>
      <c r="G4" s="17" t="n"/>
      <c r="H4" s="17" t="n"/>
    </row>
    <row r="5">
      <c r="A5" s="19" t="inlineStr">
        <is>
          <t>Дата запуска</t>
        </is>
      </c>
      <c r="B5" s="30" t="str"/>
      <c r="C5" s="17" t="n"/>
      <c r="D5" s="17" t="n"/>
      <c r="E5" s="17" t="n"/>
      <c r="F5" s="17" t="n"/>
      <c r="G5" s="17" t="n"/>
      <c r="H5" s="17" t="n"/>
    </row>
    <row r="6">
      <c r="A6" s="19" t="inlineStr">
        <is>
          <t>Вывод из Блока 5: Decision OS / система решений</t>
        </is>
      </c>
      <c r="B6" s="29" t="str"/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Вывод из Блока 6: данные и синхронизация</t>
        </is>
      </c>
      <c r="B7" s="29" t="str"/>
      <c r="C7" s="17" t="n"/>
      <c r="D7" s="17" t="n"/>
      <c r="E7" s="17" t="n"/>
      <c r="F7" s="17" t="n"/>
      <c r="G7" s="17" t="n"/>
      <c r="H7" s="17" t="n"/>
    </row>
    <row r="8">
      <c r="A8" s="19" t="inlineStr">
        <is>
          <t>Вывод из Блока 7: устойчивость / риск отказа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Вывод из Блока 8: лидерский мандат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Главная управленческая задача для AI / ИИ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9" t="inlineStr">
        <is>
          <t>C-level-владелец AI / ИИ-контура</t>
        </is>
      </c>
      <c r="B11" s="29" t="str"/>
      <c r="C11" s="17" t="n"/>
      <c r="D11" s="17" t="n"/>
      <c r="E11" s="17" t="n"/>
      <c r="F11" s="17" t="n"/>
      <c r="G11" s="17" t="n"/>
      <c r="H11" s="17" t="n"/>
    </row>
    <row r="12">
      <c r="A12" s="19" t="inlineStr">
        <is>
          <t>Куратор данных / риска</t>
        </is>
      </c>
      <c r="B12" s="29" t="str"/>
      <c r="C12" s="17" t="n"/>
      <c r="D12" s="17" t="n"/>
      <c r="E12" s="17" t="n"/>
      <c r="F12" s="17" t="n"/>
      <c r="G12" s="17" t="n"/>
      <c r="H12" s="17" t="n"/>
    </row>
    <row r="13">
      <c r="A13" s="19" t="inlineStr">
        <is>
          <t>Комментарий</t>
        </is>
      </c>
      <c r="B13" s="29" t="str"/>
      <c r="C13" s="17" t="n"/>
      <c r="D13" s="17" t="n"/>
      <c r="E13" s="17" t="n"/>
      <c r="F13" s="17" t="n"/>
      <c r="G13" s="17" t="n"/>
      <c r="H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</row>
    <row r="15">
      <c r="A15" s="22" t="inlineStr">
        <is>
          <t>Правило заполнения</t>
        </is>
      </c>
      <c r="C15" s="17" t="n"/>
      <c r="D15" s="17" t="n"/>
      <c r="E15" s="17" t="n"/>
      <c r="F15" s="17" t="n"/>
      <c r="G15" s="17" t="n"/>
      <c r="H15" s="17" t="n"/>
    </row>
    <row r="16">
      <c r="A16" s="19" t="inlineStr">
        <is>
          <t>1</t>
        </is>
      </c>
      <c r="B16" s="19" t="inlineStr">
        <is>
          <t>Блок 9 не выбирает AI / ИИ-платформу. Он проверяет управленческий допуск сценария.</t>
        </is>
      </c>
      <c r="C16" s="17" t="n"/>
      <c r="D16" s="17" t="n"/>
      <c r="E16" s="17" t="n"/>
      <c r="F16" s="17" t="n"/>
      <c r="G16" s="17" t="n"/>
      <c r="H16" s="17" t="n"/>
    </row>
    <row r="17">
      <c r="A17" s="19" t="inlineStr">
        <is>
          <t>2</t>
        </is>
      </c>
      <c r="B17" s="19" t="inlineStr">
        <is>
          <t>AI / ИИ не принимает решение вместо роли с мандатом.</t>
        </is>
      </c>
      <c r="C17" s="17" t="n"/>
      <c r="D17" s="17" t="n"/>
      <c r="E17" s="17" t="n"/>
      <c r="F17" s="17" t="n"/>
      <c r="G17" s="17" t="n"/>
      <c r="H17" s="17" t="n"/>
    </row>
    <row r="18">
      <c r="A18" s="19" t="inlineStr">
        <is>
          <t>3</t>
        </is>
      </c>
      <c r="B18" s="19" t="inlineStr">
        <is>
          <t>Сценарий не запускается без владельца, данных, человеческого контроля и экономики.</t>
        </is>
      </c>
      <c r="C18" s="17" t="n"/>
      <c r="D18" s="17" t="n"/>
      <c r="E18" s="17" t="n"/>
      <c r="F18" s="17" t="n"/>
      <c r="G18" s="17" t="n"/>
      <c r="H18" s="17" t="n"/>
    </row>
    <row r="19">
      <c r="A19" s="19" t="inlineStr">
        <is>
          <t>4</t>
        </is>
      </c>
      <c r="B19" s="19" t="inlineStr">
        <is>
          <t>Допущенные сценарии передаются в Блок 10 как управляемые показатели.</t>
        </is>
      </c>
      <c r="C19" s="17" t="n"/>
      <c r="D19" s="17" t="n"/>
      <c r="E19" s="17" t="n"/>
      <c r="F19" s="17" t="n"/>
      <c r="G19" s="17" t="n"/>
      <c r="H19" s="17" t="n"/>
    </row>
  </sheetData>
  <mergeCells count="2">
    <mergeCell ref="A15:B15"/>
    <mergeCell ref="A1:H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style="1" min="1" max="1"/>
    <col width="42" customWidth="1" style="1" min="2" max="2"/>
    <col width="24" customWidth="1" style="1" min="3" max="3"/>
    <col width="28" customWidth="1" style="1" min="4" max="4"/>
    <col width="13" customWidth="1" style="1" min="5" max="5"/>
    <col width="15" customWidth="1" style="1" min="6" max="6"/>
    <col width="17" customWidth="1" style="1" min="7" max="7"/>
    <col width="15" customWidth="1" style="1" min="8" max="8"/>
    <col width="18" customWidth="1" style="1" min="9" max="9"/>
    <col width="38" customWidth="1" style="1" min="10" max="10"/>
    <col width="12" customWidth="1" style="1" min="11" max="11"/>
    <col width="18" customWidth="1" style="1" min="12" max="12"/>
  </cols>
  <sheetData>
    <row r="1">
      <c r="A1" s="16" t="inlineStr">
        <is>
          <t>Допуск AI / ИИ-сценариев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8" t="inlineStr">
        <is>
          <t>AI / ИИ-сценарий</t>
        </is>
      </c>
      <c r="B3" s="18" t="inlineStr">
        <is>
          <t>Управленческая задача</t>
        </is>
      </c>
      <c r="C3" s="18" t="inlineStr">
        <is>
          <t>C-level-владелец</t>
        </is>
      </c>
      <c r="D3" s="18" t="inlineStr">
        <is>
          <t>Этап Decision OS</t>
        </is>
      </c>
      <c r="E3" s="18" t="inlineStr">
        <is>
          <t>Данные готовы 0-3</t>
        </is>
      </c>
      <c r="F3" s="18" t="inlineStr">
        <is>
          <t>Мандат владельца 0-3</t>
        </is>
      </c>
      <c r="G3" s="18" t="inlineStr">
        <is>
          <t>Человеческий контроль 0-3</t>
        </is>
      </c>
      <c r="H3" s="18" t="inlineStr">
        <is>
          <t>Экономика понятна 0-3</t>
        </is>
      </c>
      <c r="I3" s="18" t="inlineStr">
        <is>
          <t>Kill-list нарушен? Да/Нет</t>
        </is>
      </c>
      <c r="J3" s="18" t="inlineStr">
        <is>
          <t>Комментарий / источник</t>
        </is>
      </c>
      <c r="K3" s="18" t="inlineStr">
        <is>
          <t>Балл допуска</t>
        </is>
      </c>
      <c r="L3" s="18" t="inlineStr">
        <is>
          <t>Статус</t>
        </is>
      </c>
    </row>
    <row r="4">
      <c r="A4" s="19" t="inlineStr">
        <is>
          <t>AI / ИИ-подготовка вариантов управленческого решения</t>
        </is>
      </c>
      <c r="B4" s="19" t="inlineStr">
        <is>
          <t>Подготовить варианты, риски и вопросы для роли</t>
        </is>
      </c>
      <c r="C4" s="29" t="str"/>
      <c r="D4" s="29" t="str"/>
      <c r="E4" s="29" t="str"/>
      <c r="F4" s="29" t="str"/>
      <c r="G4" s="29" t="str"/>
      <c r="H4" s="29" t="str"/>
      <c r="I4" s="29" t="str"/>
      <c r="J4" s="29" t="str"/>
      <c r="K4" s="19">
        <f>IF(COUNTA(E4:I4)&lt;5,"",IF(I4="Да",0,ROUND(AVERAGE(E4:H4),1)))</f>
        <v/>
      </c>
      <c r="L4" s="19">
        <f>IF(K4="","Не заполнено",IF(I4="Да","NO-GO / не запускать",IF(K4&gt;=2.4,"GO / запускать",IF(K4&gt;=1.6,"HOLD / пауза","NO-GO / не запускать"))))</f>
        <v/>
      </c>
    </row>
    <row r="5">
      <c r="A5" s="19" t="inlineStr">
        <is>
          <t>AI / ИИ-резюме Data Pack / пакета данных</t>
        </is>
      </c>
      <c r="B5" s="19" t="inlineStr">
        <is>
          <t>Сжать данные до управленческого резюме</t>
        </is>
      </c>
      <c r="C5" s="29" t="str"/>
      <c r="D5" s="29" t="str"/>
      <c r="E5" s="29" t="str"/>
      <c r="F5" s="29" t="str"/>
      <c r="G5" s="29" t="str"/>
      <c r="H5" s="29" t="str"/>
      <c r="I5" s="29" t="str"/>
      <c r="J5" s="29" t="str"/>
      <c r="K5" s="19">
        <f>IF(COUNTA(E5:I5)&lt;5,"",IF(I5="Да",0,ROUND(AVERAGE(E5:H5),1)))</f>
        <v/>
      </c>
      <c r="L5" s="19">
        <f>IF(K5="","Не заполнено",IF(I5="Да","NO-GO / не запускать",IF(K5&gt;=2.4,"GO / запускать",IF(K5&gt;=1.6,"HOLD / пауза","NO-GO / не запускать"))))</f>
        <v/>
      </c>
    </row>
    <row r="6">
      <c r="A6" s="19" t="inlineStr">
        <is>
          <t>AI / ИИ-ранний сигнал риска</t>
        </is>
      </c>
      <c r="B6" s="19" t="inlineStr">
        <is>
          <t>Поймать слабый сигнал до потери управляемости</t>
        </is>
      </c>
      <c r="C6" s="29" t="str"/>
      <c r="D6" s="29" t="str"/>
      <c r="E6" s="29" t="str"/>
      <c r="F6" s="29" t="str"/>
      <c r="G6" s="29" t="str"/>
      <c r="H6" s="29" t="str"/>
      <c r="I6" s="29" t="str"/>
      <c r="J6" s="29" t="str"/>
      <c r="K6" s="19">
        <f>IF(COUNTA(E6:I6)&lt;5,"",IF(I6="Да",0,ROUND(AVERAGE(E6:H6),1)))</f>
        <v/>
      </c>
      <c r="L6" s="19">
        <f>IF(K6="","Не заполнено",IF(I6="Да","NO-GO / не запускать",IF(K6&gt;=2.4,"GO / запускать",IF(K6&gt;=1.6,"HOLD / пауза","NO-GO / не запускать"))))</f>
        <v/>
      </c>
    </row>
    <row r="7">
      <c r="A7" s="19" t="inlineStr">
        <is>
          <t>AI / ИИ-контроль исполнения решения</t>
        </is>
      </c>
      <c r="B7" s="19" t="inlineStr">
        <is>
          <t>Отслеживать выполнение решения и отклонения</t>
        </is>
      </c>
      <c r="C7" s="29" t="str"/>
      <c r="D7" s="29" t="str"/>
      <c r="E7" s="29" t="str"/>
      <c r="F7" s="29" t="str"/>
      <c r="G7" s="29" t="str"/>
      <c r="H7" s="29" t="str"/>
      <c r="I7" s="29" t="str"/>
      <c r="J7" s="29" t="str"/>
      <c r="K7" s="19">
        <f>IF(COUNTA(E7:I7)&lt;5,"",IF(I7="Да",0,ROUND(AVERAGE(E7:H7),1)))</f>
        <v/>
      </c>
      <c r="L7" s="19">
        <f>IF(K7="","Не заполнено",IF(I7="Да","NO-GO / не запускать",IF(K7&gt;=2.4,"GO / запускать",IF(K7&gt;=1.6,"HOLD / пауза","NO-GO / не запускать"))))</f>
        <v/>
      </c>
    </row>
    <row r="8">
      <c r="A8" s="19" t="inlineStr">
        <is>
          <t>AI / ИИ-обзор клиентских сигналов</t>
        </is>
      </c>
      <c r="B8" s="19" t="inlineStr">
        <is>
          <t>Собрать сигналы рынка и клиентов для C-level</t>
        </is>
      </c>
      <c r="C8" s="29" t="str"/>
      <c r="D8" s="29" t="str"/>
      <c r="E8" s="29" t="str"/>
      <c r="F8" s="29" t="str"/>
      <c r="G8" s="29" t="str"/>
      <c r="H8" s="29" t="str"/>
      <c r="I8" s="29" t="str"/>
      <c r="J8" s="29" t="str"/>
      <c r="K8" s="19">
        <f>IF(COUNTA(E8:I8)&lt;5,"",IF(I8="Да",0,ROUND(AVERAGE(E8:H8),1)))</f>
        <v/>
      </c>
      <c r="L8" s="19">
        <f>IF(K8="","Не заполнено",IF(I8="Да","NO-GO / не запускать",IF(K8&gt;=2.4,"GO / запускать",IF(K8&gt;=1.6,"HOLD / пауза","NO-GO / не запускать"))))</f>
        <v/>
      </c>
    </row>
    <row r="9">
      <c r="A9" s="19" t="inlineStr">
        <is>
          <t>AI / ИИ-поиск противоречий в данных</t>
        </is>
      </c>
      <c r="B9" s="19" t="inlineStr">
        <is>
          <t>Найти конфликт источников до обсуждения решения</t>
        </is>
      </c>
      <c r="C9" s="29" t="str"/>
      <c r="D9" s="29" t="str"/>
      <c r="E9" s="29" t="str"/>
      <c r="F9" s="29" t="str"/>
      <c r="G9" s="29" t="str"/>
      <c r="H9" s="29" t="str"/>
      <c r="I9" s="29" t="str"/>
      <c r="J9" s="29" t="str"/>
      <c r="K9" s="19">
        <f>IF(COUNTA(E9:I9)&lt;5,"",IF(I9="Да",0,ROUND(AVERAGE(E9:H9),1)))</f>
        <v/>
      </c>
      <c r="L9" s="19">
        <f>IF(K9="","Не заполнено",IF(I9="Да","NO-GO / не запускать",IF(K9&gt;=2.4,"GO / запускать",IF(K9&gt;=1.6,"HOLD / пауза","NO-GO / не запускать"))))</f>
        <v/>
      </c>
    </row>
    <row r="10">
      <c r="A10" s="19" t="inlineStr">
        <is>
          <t>AI / ИИ-сценарное моделирование</t>
        </is>
      </c>
      <c r="B10" s="19" t="inlineStr">
        <is>
          <t>Сравнить варианты развития ситуации</t>
        </is>
      </c>
      <c r="C10" s="29" t="str"/>
      <c r="D10" s="29" t="str"/>
      <c r="E10" s="29" t="str"/>
      <c r="F10" s="29" t="str"/>
      <c r="G10" s="29" t="str"/>
      <c r="H10" s="29" t="str"/>
      <c r="I10" s="29" t="str"/>
      <c r="J10" s="29" t="str"/>
      <c r="K10" s="19">
        <f>IF(COUNTA(E10:I10)&lt;5,"",IF(I10="Да",0,ROUND(AVERAGE(E10:H10),1)))</f>
        <v/>
      </c>
      <c r="L10" s="19">
        <f>IF(K10="","Не заполнено",IF(I10="Да","NO-GO / не запускать",IF(K10&gt;=2.4,"GO / запускать",IF(K10&gt;=1.6,"HOLD / пауза","NO-GO / не запускать"))))</f>
        <v/>
      </c>
    </row>
    <row r="11">
      <c r="A11" s="19" t="inlineStr">
        <is>
          <t>AI / ИИ-поддержка совещания C-level</t>
        </is>
      </c>
      <c r="B11" s="19" t="inlineStr">
        <is>
          <t>Собрать повестку, решения, владельцев и открытые вопросы</t>
        </is>
      </c>
      <c r="C11" s="29" t="str"/>
      <c r="D11" s="29" t="str"/>
      <c r="E11" s="29" t="str"/>
      <c r="F11" s="29" t="str"/>
      <c r="G11" s="29" t="str"/>
      <c r="H11" s="29" t="str"/>
      <c r="I11" s="29" t="str"/>
      <c r="J11" s="29" t="str"/>
      <c r="K11" s="19">
        <f>IF(COUNTA(E11:I11)&lt;5,"",IF(I11="Да",0,ROUND(AVERAGE(E11:H11),1)))</f>
        <v/>
      </c>
      <c r="L11" s="19">
        <f>IF(K11="","Не заполнено",IF(I11="Да","NO-GO / не запускать",IF(K11&gt;=2.4,"GO / запускать",IF(K11&gt;=1.6,"HOLD / пауза","NO-GO / не запускать"))))</f>
        <v/>
      </c>
    </row>
    <row r="12">
      <c r="A12" s="19" t="inlineStr">
        <is>
          <t>AI / ИИ-карта рисков</t>
        </is>
      </c>
      <c r="B12" s="19" t="inlineStr">
        <is>
          <t>Собрать риск-сигналы по решениям и мандатам</t>
        </is>
      </c>
      <c r="C12" s="29" t="str"/>
      <c r="D12" s="29" t="str"/>
      <c r="E12" s="29" t="str"/>
      <c r="F12" s="29" t="str"/>
      <c r="G12" s="29" t="str"/>
      <c r="H12" s="29" t="str"/>
      <c r="I12" s="29" t="str"/>
      <c r="J12" s="29" t="str"/>
      <c r="K12" s="19">
        <f>IF(COUNTA(E12:I12)&lt;5,"",IF(I12="Да",0,ROUND(AVERAGE(E12:H12),1)))</f>
        <v/>
      </c>
      <c r="L12" s="19">
        <f>IF(K12="","Не заполнено",IF(I12="Да","NO-GO / не запускать",IF(K12&gt;=2.4,"GO / запускать",IF(K12&gt;=1.6,"HOLD / пауза","NO-GO / не запускать"))))</f>
        <v/>
      </c>
    </row>
    <row r="13">
      <c r="A13" s="19" t="inlineStr">
        <is>
          <t>AI / ИИ-генерация решения без владельца</t>
        </is>
      </c>
      <c r="B13" s="19" t="inlineStr">
        <is>
          <t>Запрещённый сценарий: подмена управленческого решения</t>
        </is>
      </c>
      <c r="C13" s="29" t="str"/>
      <c r="D13" s="29" t="str"/>
      <c r="E13" s="29" t="str"/>
      <c r="F13" s="29" t="str"/>
      <c r="G13" s="29" t="str"/>
      <c r="H13" s="29" t="str"/>
      <c r="I13" s="29" t="str"/>
      <c r="J13" s="29" t="str"/>
      <c r="K13" s="19">
        <f>IF(COUNTA(E13:I13)&lt;5,"",IF(I13="Да",0,ROUND(AVERAGE(E13:H13),1)))</f>
        <v/>
      </c>
      <c r="L13" s="19">
        <f>IF(K13="","Не заполнено",IF(I13="Да","NO-GO / не запускать",IF(K13&gt;=2.4,"GO / запускать",IF(K13&gt;=1.6,"HOLD / пауза","NO-GO / не запускать"))))</f>
        <v/>
      </c>
    </row>
  </sheetData>
  <mergeCells count="1">
    <mergeCell ref="A1:L1"/>
  </mergeCells>
  <dataValidations count="6">
    <dataValidation sqref="D4:D13" showDropDown="0" showInputMessage="0" showErrorMessage="0" allowBlank="0" type="list">
      <formula1>"Data Pack / пакет данных,Discuss / обсуждение,Decide / решение,Commit / фиксация,Review / разбор"</formula1>
    </dataValidation>
    <dataValidation sqref="E4:E13" showDropDown="0" showInputMessage="0" showErrorMessage="0" allowBlank="0" type="whole" operator="between">
      <formula1>0</formula1>
      <formula2>3</formula2>
    </dataValidation>
    <dataValidation sqref="F4:F13" showDropDown="0" showInputMessage="0" showErrorMessage="0" allowBlank="0" type="whole" operator="between">
      <formula1>0</formula1>
      <formula2>3</formula2>
    </dataValidation>
    <dataValidation sqref="G4:G13" showDropDown="0" showInputMessage="0" showErrorMessage="0" allowBlank="0" type="whole" operator="between">
      <formula1>0</formula1>
      <formula2>3</formula2>
    </dataValidation>
    <dataValidation sqref="H4:H13" showDropDown="0" showInputMessage="0" showErrorMessage="0" allowBlank="0" type="whole" operator="between">
      <formula1>0</formula1>
      <formula2>3</formula2>
    </dataValidation>
    <dataValidation sqref="I4:I13" showDropDown="0" showInputMessage="0" showErrorMessage="0" allowBlank="0" type="list">
      <formula1>"Да,Нет"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style="1" min="1" max="1"/>
    <col width="34" customWidth="1" style="1" min="2" max="2"/>
    <col width="14" customWidth="1" style="1" min="3" max="3"/>
    <col width="13" customWidth="1" style="1" min="4" max="4"/>
    <col width="24" customWidth="1" style="1" min="5" max="5"/>
    <col width="14" customWidth="1" style="1" min="6" max="6"/>
    <col width="14" customWidth="1" style="1" min="7" max="7"/>
    <col width="34" customWidth="1" style="1" min="8" max="8"/>
    <col width="16" customWidth="1" style="1" min="9" max="9"/>
    <col width="13" customWidth="1" style="1" min="10" max="10"/>
    <col width="12" customWidth="1" style="1" min="11" max="11"/>
    <col width="14" customWidth="1" style="1" min="12" max="12"/>
  </cols>
  <sheetData>
    <row r="1">
      <c r="A1" s="16" t="inlineStr">
        <is>
          <t>Данные, контроль, экономика и риск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8" t="inlineStr">
        <is>
          <t>AI / ИИ-сценарий</t>
        </is>
      </c>
      <c r="B3" s="18" t="inlineStr">
        <is>
          <t>Источник данных</t>
        </is>
      </c>
      <c r="C3" s="18" t="inlineStr">
        <is>
          <t>Качество данных 0-3</t>
        </is>
      </c>
      <c r="D3" s="18" t="inlineStr">
        <is>
          <t>След решения 0-3</t>
        </is>
      </c>
      <c r="E3" s="18" t="inlineStr">
        <is>
          <t>Кто валидирует</t>
        </is>
      </c>
      <c r="F3" s="18" t="inlineStr">
        <is>
          <t>HITL/HOTL 0-3</t>
        </is>
      </c>
      <c r="G3" s="18" t="inlineStr">
        <is>
          <t>Fallback / резерв 0/1</t>
        </is>
      </c>
      <c r="H3" s="18" t="inlineStr">
        <is>
          <t>Ожидаемый эффект</t>
        </is>
      </c>
      <c r="I3" s="18" t="inlineStr">
        <is>
          <t>Стоимость / сложность 0-3</t>
        </is>
      </c>
      <c r="J3" s="18" t="inlineStr">
        <is>
          <t>Риск ошибки 0-3</t>
        </is>
      </c>
      <c r="K3" s="18" t="inlineStr">
        <is>
          <t>Балл контроля</t>
        </is>
      </c>
      <c r="L3" s="18" t="inlineStr">
        <is>
          <t>Статус</t>
        </is>
      </c>
    </row>
    <row r="4">
      <c r="A4" s="19" t="inlineStr">
        <is>
          <t>AI / ИИ-подготовка вариантов управленческого решения</t>
        </is>
      </c>
      <c r="B4" s="29" t="str"/>
      <c r="C4" s="29" t="str"/>
      <c r="D4" s="29" t="str"/>
      <c r="E4" s="29" t="str"/>
      <c r="F4" s="29" t="str"/>
      <c r="G4" s="29" t="str"/>
      <c r="H4" s="29" t="str"/>
      <c r="I4" s="29" t="str"/>
      <c r="J4" s="29" t="str"/>
      <c r="K4" s="19">
        <f>IF(COUNTA(C4:J4)&lt;6,"",ROUND((C4+D4+F4+G4*3+(3-I4)+(3-J4))/6,1))</f>
        <v/>
      </c>
      <c r="L4" s="19">
        <f>IF(K4="","Не заполнено",IF(K4&gt;=2.4,"ОК",IF(K4&gt;=1.6,"Риск","Критично")))</f>
        <v/>
      </c>
    </row>
    <row r="5">
      <c r="A5" s="19" t="inlineStr">
        <is>
          <t>AI / ИИ-резюме Data Pack / пакета данных</t>
        </is>
      </c>
      <c r="B5" s="29" t="str"/>
      <c r="C5" s="29" t="str"/>
      <c r="D5" s="29" t="str"/>
      <c r="E5" s="29" t="str"/>
      <c r="F5" s="29" t="str"/>
      <c r="G5" s="29" t="str"/>
      <c r="H5" s="29" t="str"/>
      <c r="I5" s="29" t="str"/>
      <c r="J5" s="29" t="str"/>
      <c r="K5" s="19">
        <f>IF(COUNTA(C5:J5)&lt;6,"",ROUND((C5+D5+F5+G5*3+(3-I5)+(3-J5))/6,1))</f>
        <v/>
      </c>
      <c r="L5" s="19">
        <f>IF(K5="","Не заполнено",IF(K5&gt;=2.4,"ОК",IF(K5&gt;=1.6,"Риск","Критично")))</f>
        <v/>
      </c>
    </row>
    <row r="6">
      <c r="A6" s="19" t="inlineStr">
        <is>
          <t>AI / ИИ-ранний сигнал риска</t>
        </is>
      </c>
      <c r="B6" s="29" t="str"/>
      <c r="C6" s="29" t="str"/>
      <c r="D6" s="29" t="str"/>
      <c r="E6" s="29" t="str"/>
      <c r="F6" s="29" t="str"/>
      <c r="G6" s="29" t="str"/>
      <c r="H6" s="29" t="str"/>
      <c r="I6" s="29" t="str"/>
      <c r="J6" s="29" t="str"/>
      <c r="K6" s="19">
        <f>IF(COUNTA(C6:J6)&lt;6,"",ROUND((C6+D6+F6+G6*3+(3-I6)+(3-J6))/6,1))</f>
        <v/>
      </c>
      <c r="L6" s="19">
        <f>IF(K6="","Не заполнено",IF(K6&gt;=2.4,"ОК",IF(K6&gt;=1.6,"Риск","Критично")))</f>
        <v/>
      </c>
    </row>
    <row r="7">
      <c r="A7" s="19" t="inlineStr">
        <is>
          <t>AI / ИИ-контроль исполнения решения</t>
        </is>
      </c>
      <c r="B7" s="29" t="str"/>
      <c r="C7" s="29" t="str"/>
      <c r="D7" s="29" t="str"/>
      <c r="E7" s="29" t="str"/>
      <c r="F7" s="29" t="str"/>
      <c r="G7" s="29" t="str"/>
      <c r="H7" s="29" t="str"/>
      <c r="I7" s="29" t="str"/>
      <c r="J7" s="29" t="str"/>
      <c r="K7" s="19">
        <f>IF(COUNTA(C7:J7)&lt;6,"",ROUND((C7+D7+F7+G7*3+(3-I7)+(3-J7))/6,1))</f>
        <v/>
      </c>
      <c r="L7" s="19">
        <f>IF(K7="","Не заполнено",IF(K7&gt;=2.4,"ОК",IF(K7&gt;=1.6,"Риск","Критично")))</f>
        <v/>
      </c>
    </row>
    <row r="8">
      <c r="A8" s="19" t="inlineStr">
        <is>
          <t>AI / ИИ-обзор клиентских сигналов</t>
        </is>
      </c>
      <c r="B8" s="29" t="str"/>
      <c r="C8" s="29" t="str"/>
      <c r="D8" s="29" t="str"/>
      <c r="E8" s="29" t="str"/>
      <c r="F8" s="29" t="str"/>
      <c r="G8" s="29" t="str"/>
      <c r="H8" s="29" t="str"/>
      <c r="I8" s="29" t="str"/>
      <c r="J8" s="29" t="str"/>
      <c r="K8" s="19">
        <f>IF(COUNTA(C8:J8)&lt;6,"",ROUND((C8+D8+F8+G8*3+(3-I8)+(3-J8))/6,1))</f>
        <v/>
      </c>
      <c r="L8" s="19">
        <f>IF(K8="","Не заполнено",IF(K8&gt;=2.4,"ОК",IF(K8&gt;=1.6,"Риск","Критично")))</f>
        <v/>
      </c>
    </row>
    <row r="9">
      <c r="A9" s="19" t="inlineStr">
        <is>
          <t>AI / ИИ-поиск противоречий в данных</t>
        </is>
      </c>
      <c r="B9" s="29" t="str"/>
      <c r="C9" s="29" t="str"/>
      <c r="D9" s="29" t="str"/>
      <c r="E9" s="29" t="str"/>
      <c r="F9" s="29" t="str"/>
      <c r="G9" s="29" t="str"/>
      <c r="H9" s="29" t="str"/>
      <c r="I9" s="29" t="str"/>
      <c r="J9" s="29" t="str"/>
      <c r="K9" s="19">
        <f>IF(COUNTA(C9:J9)&lt;6,"",ROUND((C9+D9+F9+G9*3+(3-I9)+(3-J9))/6,1))</f>
        <v/>
      </c>
      <c r="L9" s="19">
        <f>IF(K9="","Не заполнено",IF(K9&gt;=2.4,"ОК",IF(K9&gt;=1.6,"Риск","Критично")))</f>
        <v/>
      </c>
    </row>
    <row r="10">
      <c r="A10" s="19" t="inlineStr">
        <is>
          <t>AI / ИИ-сценарное моделирование</t>
        </is>
      </c>
      <c r="B10" s="29" t="str"/>
      <c r="C10" s="29" t="str"/>
      <c r="D10" s="29" t="str"/>
      <c r="E10" s="29" t="str"/>
      <c r="F10" s="29" t="str"/>
      <c r="G10" s="29" t="str"/>
      <c r="H10" s="29" t="str"/>
      <c r="I10" s="29" t="str"/>
      <c r="J10" s="29" t="str"/>
      <c r="K10" s="19">
        <f>IF(COUNTA(C10:J10)&lt;6,"",ROUND((C10+D10+F10+G10*3+(3-I10)+(3-J10))/6,1))</f>
        <v/>
      </c>
      <c r="L10" s="19">
        <f>IF(K10="","Не заполнено",IF(K10&gt;=2.4,"ОК",IF(K10&gt;=1.6,"Риск","Критично")))</f>
        <v/>
      </c>
    </row>
    <row r="11">
      <c r="A11" s="19" t="inlineStr">
        <is>
          <t>AI / ИИ-поддержка совещания C-level</t>
        </is>
      </c>
      <c r="B11" s="29" t="str"/>
      <c r="C11" s="29" t="str"/>
      <c r="D11" s="29" t="str"/>
      <c r="E11" s="29" t="str"/>
      <c r="F11" s="29" t="str"/>
      <c r="G11" s="29" t="str"/>
      <c r="H11" s="29" t="str"/>
      <c r="I11" s="29" t="str"/>
      <c r="J11" s="29" t="str"/>
      <c r="K11" s="19">
        <f>IF(COUNTA(C11:J11)&lt;6,"",ROUND((C11+D11+F11+G11*3+(3-I11)+(3-J11))/6,1))</f>
        <v/>
      </c>
      <c r="L11" s="19">
        <f>IF(K11="","Не заполнено",IF(K11&gt;=2.4,"ОК",IF(K11&gt;=1.6,"Риск","Критично")))</f>
        <v/>
      </c>
    </row>
    <row r="12">
      <c r="A12" s="19" t="inlineStr">
        <is>
          <t>AI / ИИ-карта рисков</t>
        </is>
      </c>
      <c r="B12" s="29" t="str"/>
      <c r="C12" s="29" t="str"/>
      <c r="D12" s="29" t="str"/>
      <c r="E12" s="29" t="str"/>
      <c r="F12" s="29" t="str"/>
      <c r="G12" s="29" t="str"/>
      <c r="H12" s="29" t="str"/>
      <c r="I12" s="29" t="str"/>
      <c r="J12" s="29" t="str"/>
      <c r="K12" s="19">
        <f>IF(COUNTA(C12:J12)&lt;6,"",ROUND((C12+D12+F12+G12*3+(3-I12)+(3-J12))/6,1))</f>
        <v/>
      </c>
      <c r="L12" s="19">
        <f>IF(K12="","Не заполнено",IF(K12&gt;=2.4,"ОК",IF(K12&gt;=1.6,"Риск","Критично")))</f>
        <v/>
      </c>
    </row>
    <row r="13">
      <c r="A13" s="19" t="inlineStr">
        <is>
          <t>AI / ИИ-генерация решения без владельца</t>
        </is>
      </c>
      <c r="B13" s="29" t="str"/>
      <c r="C13" s="29" t="str"/>
      <c r="D13" s="29" t="str"/>
      <c r="E13" s="29" t="str"/>
      <c r="F13" s="29" t="str"/>
      <c r="G13" s="29" t="str"/>
      <c r="H13" s="29" t="str"/>
      <c r="I13" s="29" t="str"/>
      <c r="J13" s="29" t="str"/>
      <c r="K13" s="19">
        <f>IF(COUNTA(C13:J13)&lt;6,"",ROUND((C13+D13+F13+G13*3+(3-I13)+(3-J13))/6,1))</f>
        <v/>
      </c>
      <c r="L13" s="19">
        <f>IF(K13="","Не заполнено",IF(K13&gt;=2.4,"ОК",IF(K13&gt;=1.6,"Риск","Критично")))</f>
        <v/>
      </c>
    </row>
  </sheetData>
  <mergeCells count="1">
    <mergeCell ref="A1:L1"/>
  </mergeCells>
  <dataValidations count="6">
    <dataValidation sqref="C4:C13" showDropDown="0" showInputMessage="0" showErrorMessage="0" allowBlank="0" type="whole" operator="between">
      <formula1>0</formula1>
      <formula2>3</formula2>
    </dataValidation>
    <dataValidation sqref="D4:D13" showDropDown="0" showInputMessage="0" showErrorMessage="0" allowBlank="0" type="whole" operator="between">
      <formula1>0</formula1>
      <formula2>3</formula2>
    </dataValidation>
    <dataValidation sqref="F4:F13" showDropDown="0" showInputMessage="0" showErrorMessage="0" allowBlank="0" type="whole" operator="between">
      <formula1>0</formula1>
      <formula2>3</formula2>
    </dataValidation>
    <dataValidation sqref="I4:I13" showDropDown="0" showInputMessage="0" showErrorMessage="0" allowBlank="0" type="whole" operator="between">
      <formula1>0</formula1>
      <formula2>3</formula2>
    </dataValidation>
    <dataValidation sqref="J4:J13" showDropDown="0" showInputMessage="0" showErrorMessage="0" allowBlank="0" type="whole" operator="between">
      <formula1>0</formula1>
      <formula2>3</formula2>
    </dataValidation>
    <dataValidation sqref="G4:G13" showDropDown="0" showInputMessage="0" showErrorMessage="0" allowBlank="0" type="whole" operator="between">
      <formula1>0</formula1>
      <formula2>1</formula2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24" customWidth="1" style="1" min="2" max="2"/>
    <col width="22" customWidth="1" style="1" min="3" max="3"/>
    <col width="28" customWidth="1" style="1" min="4" max="4"/>
    <col width="50" customWidth="1" style="1" min="5" max="5"/>
  </cols>
  <sheetData>
    <row r="1">
      <c r="A1" s="16" t="inlineStr">
        <is>
          <t>Расчёт AI / ИИ-контура</t>
        </is>
      </c>
      <c r="F1" s="16" t="n"/>
      <c r="G1" s="16" t="n"/>
      <c r="H1" s="16" t="n"/>
      <c r="I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</row>
    <row r="3">
      <c r="A3" s="18" t="inlineStr">
        <is>
          <t>Показатель</t>
        </is>
      </c>
      <c r="B3" s="18" t="inlineStr">
        <is>
          <t>Значение</t>
        </is>
      </c>
      <c r="C3" s="18" t="inlineStr">
        <is>
          <t>Норма</t>
        </is>
      </c>
      <c r="D3" s="18" t="inlineStr">
        <is>
          <t>Источник</t>
        </is>
      </c>
      <c r="E3" s="18" t="inlineStr">
        <is>
          <t>Комментарий</t>
        </is>
      </c>
      <c r="F3" s="17" t="n"/>
      <c r="G3" s="23" t="inlineStr">
        <is>
          <t>Как читать расчет</t>
        </is>
      </c>
    </row>
    <row r="4">
      <c r="A4" s="19" t="inlineStr">
        <is>
          <t>Заполненность допуска</t>
        </is>
      </c>
      <c r="B4" s="20">
        <f>IFERROR(COUNT('02_Сценарии'!K4:K13)/10,0)</f>
        <v/>
      </c>
      <c r="C4" s="19" t="inlineStr">
        <is>
          <t>80%+</t>
        </is>
      </c>
      <c r="D4" s="19" t="inlineStr">
        <is>
          <t>02_Сценарии</t>
        </is>
      </c>
      <c r="E4" s="19" t="str"/>
      <c r="F4" s="17" t="n"/>
      <c r="G4" s="25" t="inlineStr">
        <is>
          <t>AI / ИИ Readiness Score показывает, можно ли переводить сценарии в управляемый контур CLM.</t>
        </is>
      </c>
      <c r="H4" s="31" t="n"/>
      <c r="I4" s="32" t="n"/>
    </row>
    <row r="5">
      <c r="A5" s="19" t="inlineStr">
        <is>
          <t>Сценариев GO / запускать</t>
        </is>
      </c>
      <c r="B5" s="19">
        <f>COUNTIF('02_Сценарии'!L4:L13,"GO / запускать")</f>
        <v/>
      </c>
      <c r="C5" s="19" t="inlineStr">
        <is>
          <t>1+</t>
        </is>
      </c>
      <c r="D5" s="19" t="inlineStr">
        <is>
          <t>02_Сценарии</t>
        </is>
      </c>
      <c r="E5" s="19" t="str"/>
      <c r="F5" s="17" t="n"/>
      <c r="G5" s="25" t="inlineStr">
        <is>
          <t>Даже при хорошем среднем балле NO-GO / не запускать и критичный контроль требуют отдельного решения.</t>
        </is>
      </c>
      <c r="H5" s="31" t="n"/>
      <c r="I5" s="32" t="n"/>
    </row>
    <row r="6">
      <c r="A6" s="19" t="inlineStr">
        <is>
          <t>Сценариев HOLD / пауза</t>
        </is>
      </c>
      <c r="B6" s="19">
        <f>COUNTIF('02_Сценарии'!L4:L13,"HOLD / пауза")</f>
        <v/>
      </c>
      <c r="C6" s="19" t="inlineStr">
        <is>
          <t>контроль</t>
        </is>
      </c>
      <c r="D6" s="19" t="inlineStr">
        <is>
          <t>02_Сценарии</t>
        </is>
      </c>
      <c r="E6" s="19" t="str"/>
      <c r="F6" s="17" t="n"/>
      <c r="G6" s="17" t="n"/>
      <c r="H6" s="17" t="n"/>
      <c r="I6" s="17" t="n"/>
    </row>
    <row r="7">
      <c r="A7" s="19" t="inlineStr">
        <is>
          <t>Сценариев NO-GO / не запускать</t>
        </is>
      </c>
      <c r="B7" s="19">
        <f>COUNTIF('02_Сценарии'!L4:L13,"NO-GO / не запускать")</f>
        <v/>
      </c>
      <c r="C7" s="19" t="inlineStr">
        <is>
          <t>0</t>
        </is>
      </c>
      <c r="D7" s="19" t="inlineStr">
        <is>
          <t>02_Сценарии</t>
        </is>
      </c>
      <c r="E7" s="19" t="str"/>
      <c r="F7" s="17" t="n"/>
      <c r="G7" s="17" t="n"/>
      <c r="H7" s="17" t="n"/>
      <c r="I7" s="17" t="n"/>
    </row>
    <row r="8">
      <c r="A8" s="19" t="inlineStr">
        <is>
          <t>Средний балл допуска</t>
        </is>
      </c>
      <c r="B8" s="19">
        <f>IFERROR(AVERAGE('02_Сценарии'!K4:K13),"")</f>
        <v/>
      </c>
      <c r="C8" s="19" t="inlineStr">
        <is>
          <t>2.4+</t>
        </is>
      </c>
      <c r="D8" s="19" t="inlineStr">
        <is>
          <t>02_Сценарии</t>
        </is>
      </c>
      <c r="E8" s="19" t="str"/>
      <c r="F8" s="17" t="n"/>
      <c r="G8" s="17" t="n"/>
      <c r="H8" s="17" t="n"/>
      <c r="I8" s="17" t="n"/>
    </row>
    <row r="9">
      <c r="A9" s="19" t="inlineStr">
        <is>
          <t>Заполненность контроля</t>
        </is>
      </c>
      <c r="B9" s="20">
        <f>IFERROR(COUNT('03_Контроль'!K4:K13)/10,0)</f>
        <v/>
      </c>
      <c r="C9" s="19" t="inlineStr">
        <is>
          <t>80%+</t>
        </is>
      </c>
      <c r="D9" s="19" t="inlineStr">
        <is>
          <t>03_Контроль</t>
        </is>
      </c>
      <c r="E9" s="19" t="str"/>
      <c r="F9" s="17" t="n"/>
      <c r="G9" s="17" t="n"/>
      <c r="H9" s="17" t="n"/>
      <c r="I9" s="17" t="n"/>
    </row>
    <row r="10">
      <c r="A10" s="19" t="inlineStr">
        <is>
          <t>Средний балл контроля</t>
        </is>
      </c>
      <c r="B10" s="19">
        <f>IFERROR(AVERAGE('03_Контроль'!K4:K13),"")</f>
        <v/>
      </c>
      <c r="C10" s="19" t="inlineStr">
        <is>
          <t>2.4+</t>
        </is>
      </c>
      <c r="D10" s="19" t="inlineStr">
        <is>
          <t>03_Контроль</t>
        </is>
      </c>
      <c r="E10" s="19" t="str"/>
      <c r="F10" s="17" t="n"/>
      <c r="G10" s="17" t="n"/>
      <c r="H10" s="17" t="n"/>
      <c r="I10" s="17" t="n"/>
    </row>
    <row r="11">
      <c r="A11" s="19" t="inlineStr">
        <is>
          <t>Критичных зон контроля</t>
        </is>
      </c>
      <c r="B11" s="19">
        <f>COUNTIF('03_Контроль'!L4:L13,"Критично")</f>
        <v/>
      </c>
      <c r="C11" s="19" t="inlineStr">
        <is>
          <t>0</t>
        </is>
      </c>
      <c r="D11" s="19" t="inlineStr">
        <is>
          <t>03_Контроль</t>
        </is>
      </c>
      <c r="E11" s="19" t="str"/>
      <c r="F11" s="17" t="n"/>
      <c r="G11" s="17" t="n"/>
      <c r="H11" s="17" t="n"/>
      <c r="I11" s="17" t="n"/>
    </row>
    <row r="12">
      <c r="A12" s="19" t="inlineStr">
        <is>
          <t>AI / ИИ Readiness Score</t>
        </is>
      </c>
      <c r="B12" s="21">
        <f>IF(OR(B4&lt;0.8,B9&lt;0.8),"",ROUND((B8/3*0.55+B10/3*0.45)*100-IF(B7+B11&gt;0,10,0),0))</f>
        <v/>
      </c>
      <c r="C12" s="19" t="inlineStr">
        <is>
          <t>75+</t>
        </is>
      </c>
      <c r="D12" s="19" t="inlineStr">
        <is>
          <t>Сводный показатель</t>
        </is>
      </c>
      <c r="E12" s="19" t="str"/>
      <c r="F12" s="17" t="n"/>
      <c r="G12" s="17" t="n"/>
      <c r="H12" s="17" t="n"/>
      <c r="I12" s="17" t="n"/>
    </row>
    <row r="13">
      <c r="A13" s="19" t="inlineStr">
        <is>
          <t>Статус</t>
        </is>
      </c>
      <c r="B13" s="19">
        <f>IF(B12="","",IF(B12&gt;=75,"GO / запускать",IF(B12&gt;=50,"HOLD / пауза","NO-GO / остановить")))</f>
        <v/>
      </c>
      <c r="C13" s="19" t="inlineStr">
        <is>
          <t>GO / HOLD / NO-GO</t>
        </is>
      </c>
      <c r="D13" s="19" t="inlineStr">
        <is>
          <t>Порог Score</t>
        </is>
      </c>
      <c r="E13" s="19" t="str"/>
      <c r="F13" s="17" t="n"/>
      <c r="G13" s="17" t="n"/>
      <c r="H13" s="17" t="n"/>
      <c r="I13" s="17" t="n"/>
    </row>
    <row r="14">
      <c r="A14" s="19" t="inlineStr">
        <is>
          <t>Главный риск</t>
        </is>
      </c>
      <c r="B14" s="19">
        <f>IF(B12="","Недостаточно данных",IF(B7+B11&gt;0,"Есть NO-GO сценарии или критичный контроль",IF(B5=0,"Нет сценариев GO / запускать",IF(B10&lt;2.4,"Слабые данные, контроль или fallback","AI / ИИ-контур управляем"))))</f>
        <v/>
      </c>
      <c r="C14" s="19" t="inlineStr">
        <is>
          <t>Автовывод</t>
        </is>
      </c>
      <c r="D14" s="19" t="inlineStr">
        <is>
          <t>Score + критичные зоны</t>
        </is>
      </c>
      <c r="E14" s="19" t="str"/>
      <c r="F14" s="17" t="n"/>
      <c r="G14" s="17" t="n"/>
      <c r="H14" s="17" t="n"/>
      <c r="I14" s="17" t="n"/>
    </row>
    <row r="15">
      <c r="A15" s="19" t="inlineStr">
        <is>
          <t>Рекомендуемый следующий блок</t>
        </is>
      </c>
      <c r="B15" s="19">
        <f>'05_Отчет'!B9</f>
        <v/>
      </c>
      <c r="C15" s="19" t="inlineStr">
        <is>
          <t>Ручной выбор</t>
        </is>
      </c>
      <c r="D15" s="19" t="inlineStr">
        <is>
          <t>05_Отчет</t>
        </is>
      </c>
      <c r="E15" s="19" t="str"/>
      <c r="F15" s="17" t="n"/>
      <c r="G15" s="17" t="n"/>
      <c r="H15" s="17" t="n"/>
      <c r="I15" s="17" t="n"/>
    </row>
    <row r="16">
      <c r="A16" s="19" t="inlineStr">
        <is>
          <t>Дата обновления</t>
        </is>
      </c>
      <c r="B16" s="19">
        <f>IF('01_Ввод'!B5="","",'01_Ввод'!B5)</f>
        <v/>
      </c>
      <c r="C16" s="19" t="inlineStr">
        <is>
          <t>Дата</t>
        </is>
      </c>
      <c r="D16" s="19" t="inlineStr">
        <is>
          <t>01_Ввод</t>
        </is>
      </c>
      <c r="E16" s="19" t="str"/>
      <c r="F16" s="17" t="n"/>
      <c r="G16" s="17" t="n"/>
      <c r="H16" s="17" t="n"/>
      <c r="I16" s="17" t="n"/>
    </row>
  </sheetData>
  <mergeCells count="4">
    <mergeCell ref="G5:I5"/>
    <mergeCell ref="A1:E1"/>
    <mergeCell ref="G4:I4"/>
    <mergeCell ref="G3:I3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6" customWidth="1" style="1" min="1" max="1"/>
    <col width="48" customWidth="1" style="1" min="2" max="2"/>
    <col width="38" customWidth="1" style="1" min="3" max="3"/>
    <col width="38" customWidth="1" style="1" min="4" max="4"/>
    <col width="12" customWidth="1" style="1" min="5" max="5"/>
    <col width="12" customWidth="1" style="1" min="6" max="6"/>
    <col width="12" customWidth="1" style="1" min="7" max="7"/>
    <col width="12" customWidth="1" style="1" min="8" max="8"/>
  </cols>
  <sheetData>
    <row r="1">
      <c r="A1" s="16" t="inlineStr">
        <is>
          <t>Отчёт Блока 9</t>
        </is>
      </c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</row>
    <row r="3">
      <c r="A3" s="24" t="inlineStr">
        <is>
          <t>Поле</t>
        </is>
      </c>
      <c r="B3" s="24" t="inlineStr">
        <is>
          <t>Вывод</t>
        </is>
      </c>
      <c r="C3" s="17" t="n"/>
      <c r="D3" s="17" t="n"/>
      <c r="E3" s="17" t="n"/>
      <c r="F3" s="23" t="inlineStr">
        <is>
          <t>Формула вывода</t>
        </is>
      </c>
    </row>
    <row r="4">
      <c r="A4" s="19" t="inlineStr">
        <is>
          <t>Клиент</t>
        </is>
      </c>
      <c r="B4" s="19">
        <f>IF('01_Ввод'!B4="","",'01_Ввод'!B4)</f>
        <v/>
      </c>
      <c r="C4" s="17" t="n"/>
      <c r="D4" s="17" t="n"/>
      <c r="E4" s="17" t="n"/>
      <c r="F4" s="25" t="inlineStr">
        <is>
          <t>Задача → владелец → данные → AI / ИИ-вывод → человеческий контроль → экономика и риск → Блок 10.</t>
        </is>
      </c>
      <c r="G4" s="31" t="n"/>
      <c r="H4" s="32" t="n"/>
    </row>
    <row r="5">
      <c r="A5" s="19" t="inlineStr">
        <is>
          <t>AI / ИИ Readiness Score</t>
        </is>
      </c>
      <c r="B5" s="21">
        <f>'04_Расчет'!B12</f>
        <v/>
      </c>
      <c r="C5" s="17" t="n"/>
      <c r="D5" s="17" t="n"/>
      <c r="E5" s="17" t="n"/>
      <c r="F5" s="17" t="n"/>
      <c r="G5" s="17" t="n"/>
      <c r="H5" s="17" t="n"/>
    </row>
    <row r="6">
      <c r="A6" s="19" t="inlineStr">
        <is>
          <t>Статус</t>
        </is>
      </c>
      <c r="B6" s="19">
        <f>'04_Расчет'!B13</f>
        <v/>
      </c>
      <c r="C6" s="17" t="n"/>
      <c r="D6" s="17" t="n"/>
      <c r="E6" s="17" t="n"/>
      <c r="F6" s="17" t="n"/>
      <c r="G6" s="17" t="n"/>
      <c r="H6" s="17" t="n"/>
    </row>
    <row r="7">
      <c r="A7" s="19" t="inlineStr">
        <is>
          <t>Главный риск</t>
        </is>
      </c>
      <c r="B7" s="19">
        <f>'04_Расчет'!B14</f>
        <v/>
      </c>
      <c r="C7" s="17" t="n"/>
      <c r="D7" s="17" t="n"/>
      <c r="E7" s="17" t="n"/>
      <c r="F7" s="17" t="n"/>
      <c r="G7" s="17" t="n"/>
      <c r="H7" s="17" t="n"/>
    </row>
    <row r="8">
      <c r="A8" s="19" t="inlineStr">
        <is>
          <t>Рекомендуемый следующий блок</t>
        </is>
      </c>
      <c r="B8" s="29" t="str"/>
      <c r="C8" s="17" t="n"/>
      <c r="D8" s="17" t="n"/>
      <c r="E8" s="17" t="n"/>
      <c r="F8" s="17" t="n"/>
      <c r="G8" s="17" t="n"/>
      <c r="H8" s="17" t="n"/>
    </row>
    <row r="9">
      <c r="A9" s="19" t="inlineStr">
        <is>
          <t>Комментарий консультанта</t>
        </is>
      </c>
      <c r="B9" s="29" t="str"/>
      <c r="C9" s="17" t="n"/>
      <c r="D9" s="17" t="n"/>
      <c r="E9" s="17" t="n"/>
      <c r="F9" s="17" t="n"/>
      <c r="G9" s="17" t="n"/>
      <c r="H9" s="17" t="n"/>
    </row>
    <row r="10">
      <c r="A10" s="19" t="inlineStr">
        <is>
          <t>Первое действие 30 дней</t>
        </is>
      </c>
      <c r="B10" s="29" t="str"/>
      <c r="C10" s="17" t="n"/>
      <c r="D10" s="17" t="n"/>
      <c r="E10" s="17" t="n"/>
      <c r="F10" s="17" t="n"/>
      <c r="G10" s="17" t="n"/>
      <c r="H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</row>
    <row r="12">
      <c r="A12" s="22" t="inlineStr">
        <is>
          <t>Решение для 4 сторон</t>
        </is>
      </c>
      <c r="E12" s="17" t="n"/>
      <c r="F12" s="17" t="n"/>
      <c r="G12" s="17" t="n"/>
      <c r="H12" s="17" t="n"/>
    </row>
    <row r="13">
      <c r="A13" s="18" t="inlineStr">
        <is>
          <t>Сторона</t>
        </is>
      </c>
      <c r="B13" s="18" t="inlineStr">
        <is>
          <t>Что показать</t>
        </is>
      </c>
      <c r="C13" s="18" t="inlineStr">
        <is>
          <t>Что не включать</t>
        </is>
      </c>
      <c r="D13" s="18" t="inlineStr">
        <is>
          <t>Решение</t>
        </is>
      </c>
      <c r="E13" s="17" t="n"/>
      <c r="F13" s="17" t="n"/>
      <c r="G13" s="17" t="n"/>
      <c r="H13" s="17" t="n"/>
    </row>
    <row r="14">
      <c r="A14" s="19" t="inlineStr">
        <is>
          <t>CEO / генеральный директор</t>
        </is>
      </c>
      <c r="B14" s="19" t="inlineStr">
        <is>
          <t>Какие AI / ИИ-сценарии допустимы и кто отвечает за решение</t>
        </is>
      </c>
      <c r="C14" s="19" t="inlineStr">
        <is>
          <t>Каталог модных инструментов без управленческого эффекта</t>
        </is>
      </c>
      <c r="D14" s="29" t="str"/>
      <c r="E14" s="17" t="n"/>
      <c r="F14" s="17" t="n"/>
      <c r="G14" s="17" t="n"/>
      <c r="H14" s="17" t="n"/>
    </row>
    <row r="15">
      <c r="A15" s="19" t="inlineStr">
        <is>
          <t>C-level-команда / первый управленческий круг</t>
        </is>
      </c>
      <c r="B15" s="19" t="inlineStr">
        <is>
          <t>Роли, данные, контроль, Decision OS / систему решений и границы AI / ИИ</t>
        </is>
      </c>
      <c r="C15" s="19" t="inlineStr">
        <is>
          <t>Обещание, что AI / ИИ решит проблемы вместо команды</t>
        </is>
      </c>
      <c r="D15" s="29" t="str"/>
      <c r="E15" s="17" t="n"/>
      <c r="F15" s="17" t="n"/>
      <c r="G15" s="17" t="n"/>
      <c r="H15" s="17" t="n"/>
    </row>
    <row r="16">
      <c r="A16" s="19" t="inlineStr">
        <is>
          <t>Владелец компании</t>
        </is>
      </c>
      <c r="B16" s="19" t="inlineStr">
        <is>
          <t>Экономику, риск и управляемость AI / ИИ-контура</t>
        </is>
      </c>
      <c r="C16" s="19" t="inlineStr">
        <is>
          <t>Технические детали без управленческого риска</t>
        </is>
      </c>
      <c r="D16" s="29" t="str"/>
      <c r="E16" s="17" t="n"/>
      <c r="F16" s="17" t="n"/>
      <c r="G16" s="17" t="n"/>
      <c r="H16" s="17" t="n"/>
    </row>
    <row r="17">
      <c r="A17" s="19" t="inlineStr">
        <is>
          <t>Board / совет директоров</t>
        </is>
      </c>
      <c r="B17" s="19" t="inlineStr">
        <is>
          <t>Статус допуска, риск, контроль и передачу показателей в Блок 10</t>
        </is>
      </c>
      <c r="C17" s="19" t="inlineStr">
        <is>
          <t>Непроверенные заявления о ROI</t>
        </is>
      </c>
      <c r="D17" s="29" t="str"/>
      <c r="E17" s="17" t="n"/>
      <c r="F17" s="17" t="n"/>
      <c r="G17" s="17" t="n"/>
      <c r="H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</row>
    <row r="19">
      <c r="A19" s="22" t="inlineStr">
        <is>
          <t>План 30 / 60 / 90</t>
        </is>
      </c>
      <c r="E19" s="17" t="n"/>
      <c r="F19" s="17" t="n"/>
      <c r="G19" s="17" t="n"/>
      <c r="H19" s="17" t="n"/>
    </row>
    <row r="20">
      <c r="A20" s="18" t="inlineStr">
        <is>
          <t>Горизонт</t>
        </is>
      </c>
      <c r="B20" s="18" t="inlineStr">
        <is>
          <t>Цель</t>
        </is>
      </c>
      <c r="C20" s="18" t="inlineStr">
        <is>
          <t>Действие</t>
        </is>
      </c>
      <c r="D20" s="18" t="inlineStr">
        <is>
          <t>Метрика</t>
        </is>
      </c>
      <c r="E20" s="17" t="n"/>
      <c r="F20" s="17" t="n"/>
      <c r="G20" s="17" t="n"/>
      <c r="H20" s="17" t="n"/>
    </row>
    <row r="21">
      <c r="A21" s="19" t="inlineStr">
        <is>
          <t>30 дней</t>
        </is>
      </c>
      <c r="B21" s="19" t="inlineStr">
        <is>
          <t>Закрыть допуск и владельцев первых сценариев</t>
        </is>
      </c>
      <c r="C21" s="29" t="str"/>
      <c r="D21" s="29" t="str"/>
      <c r="E21" s="17" t="n"/>
      <c r="F21" s="17" t="n"/>
      <c r="G21" s="17" t="n"/>
      <c r="H21" s="17" t="n"/>
    </row>
    <row r="22">
      <c r="A22" s="19" t="inlineStr">
        <is>
          <t>60 дней</t>
        </is>
      </c>
      <c r="B22" s="19" t="inlineStr">
        <is>
          <t>Проверить данные, человеческий контроль и fallback / резерв</t>
        </is>
      </c>
      <c r="C22" s="29" t="str"/>
      <c r="D22" s="29" t="str"/>
      <c r="E22" s="17" t="n"/>
      <c r="F22" s="17" t="n"/>
      <c r="G22" s="17" t="n"/>
      <c r="H22" s="17" t="n"/>
    </row>
    <row r="23">
      <c r="A23" s="19" t="inlineStr">
        <is>
          <t>90 дней</t>
        </is>
      </c>
      <c r="B23" s="19" t="inlineStr">
        <is>
          <t>Передать показатели в Блок 10 и решить масштабирование</t>
        </is>
      </c>
      <c r="C23" s="29" t="str"/>
      <c r="D23" s="29" t="str"/>
      <c r="E23" s="17" t="n"/>
      <c r="F23" s="17" t="n"/>
      <c r="G23" s="17" t="n"/>
      <c r="H23" s="17" t="n"/>
    </row>
  </sheetData>
  <mergeCells count="5">
    <mergeCell ref="A12:D12"/>
    <mergeCell ref="F4:H4"/>
    <mergeCell ref="A19:D19"/>
    <mergeCell ref="A1:H1"/>
    <mergeCell ref="F3:H3"/>
  </mergeCells>
  <dataValidations count="1">
    <dataValidation sqref="B8" showDropDown="0" showInputMessage="0" showErrorMessage="0" allowBlank="0" type="list">
      <formula1>"Блок 10,Блок 11,Блок 12,Блок 8 / Блок 5"</formula1>
    </dataValidation>
  </dataValidation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4" customWidth="1" style="1" min="1" max="1"/>
    <col width="54" customWidth="1" style="1" min="2" max="2"/>
    <col width="4" customWidth="1" style="1" min="3" max="3"/>
    <col width="32" customWidth="1" style="1" min="4" max="4"/>
    <col width="58" customWidth="1" style="1" min="5" max="5"/>
    <col width="4" customWidth="1" style="1" min="6" max="6"/>
    <col width="36" customWidth="1" style="1" min="7" max="7"/>
    <col width="18" customWidth="1" style="1" min="8" max="8"/>
    <col width="66" customWidth="1" style="1" min="9" max="9"/>
  </cols>
  <sheetData>
    <row r="1">
      <c r="A1" s="18" t="inlineStr">
        <is>
          <t>Сценарий</t>
        </is>
      </c>
      <c r="B1" s="18" t="inlineStr">
        <is>
          <t>Управленческая задача</t>
        </is>
      </c>
      <c r="C1" s="16" t="n"/>
      <c r="D1" s="24" t="inlineStr">
        <is>
          <t>Этап Decision OS / системы решений</t>
        </is>
      </c>
      <c r="E1" s="24" t="inlineStr">
        <is>
          <t>Как используется AI / ИИ</t>
        </is>
      </c>
      <c r="F1" s="16" t="n"/>
      <c r="G1" s="24" t="inlineStr">
        <is>
          <t>Сигнал</t>
        </is>
      </c>
      <c r="H1" s="24" t="inlineStr">
        <is>
          <t>Следующий блок</t>
        </is>
      </c>
      <c r="I1" s="24" t="inlineStr">
        <is>
          <t>Когда нужен</t>
        </is>
      </c>
    </row>
    <row r="2">
      <c r="A2" s="19" t="inlineStr">
        <is>
          <t>AI / ИИ-подготовка вариантов управленческого решения</t>
        </is>
      </c>
      <c r="B2" s="19" t="inlineStr">
        <is>
          <t>Подготовить варианты, риски и вопросы для роли</t>
        </is>
      </c>
      <c r="C2" s="17" t="n"/>
      <c r="D2" s="19" t="inlineStr">
        <is>
          <t>Data Pack / пакет данных</t>
        </is>
      </c>
      <c r="E2" s="19" t="inlineStr">
        <is>
          <t>AI / ИИ готовит или проверяет данные до решения.</t>
        </is>
      </c>
      <c r="F2" s="17" t="n"/>
      <c r="G2" s="19" t="inlineStr">
        <is>
          <t>Есть допущенные AI / ИИ-сценарии</t>
        </is>
      </c>
      <c r="H2" s="19" t="inlineStr">
        <is>
          <t>Блок 10</t>
        </is>
      </c>
      <c r="I2" s="19" t="inlineStr">
        <is>
          <t>Передать статус, владельца, данные, риск и эффект в панель.</t>
        </is>
      </c>
    </row>
    <row r="3">
      <c r="A3" s="19" t="inlineStr">
        <is>
          <t>AI / ИИ-резюме Data Pack / пакета данных</t>
        </is>
      </c>
      <c r="B3" s="19" t="inlineStr">
        <is>
          <t>Сжать данные до управленческого резюме</t>
        </is>
      </c>
      <c r="C3" s="17" t="n"/>
      <c r="D3" s="19" t="inlineStr">
        <is>
          <t>Discuss / обсуждение</t>
        </is>
      </c>
      <c r="E3" s="19" t="inlineStr">
        <is>
          <t>AI / ИИ готовит варианты, вопросы и риски.</t>
        </is>
      </c>
      <c r="F3" s="17" t="n"/>
      <c r="G3" s="19" t="inlineStr">
        <is>
          <t>Нужен план внедрения 30 / 60 / 90</t>
        </is>
      </c>
      <c r="H3" s="19" t="inlineStr">
        <is>
          <t>Блок 11</t>
        </is>
      </c>
      <c r="I3" s="19" t="inlineStr">
        <is>
          <t>Развернуть допущенные сценарии в дорожную карту.</t>
        </is>
      </c>
    </row>
    <row r="4">
      <c r="A4" s="19" t="inlineStr">
        <is>
          <t>AI / ИИ-ранний сигнал риска</t>
        </is>
      </c>
      <c r="B4" s="19" t="inlineStr">
        <is>
          <t>Поймать слабый сигнал до потери управляемости</t>
        </is>
      </c>
      <c r="C4" s="17" t="n"/>
      <c r="D4" s="19" t="inlineStr">
        <is>
          <t>Decide / решение</t>
        </is>
      </c>
      <c r="E4" s="19" t="inlineStr">
        <is>
          <t>AI / ИИ не принимает решение вместо роли.</t>
        </is>
      </c>
      <c r="F4" s="17" t="n"/>
      <c r="G4" s="19" t="inlineStr">
        <is>
          <t>Нужны шаблоны промптов, журналов и проверок</t>
        </is>
      </c>
      <c r="H4" s="19" t="inlineStr">
        <is>
          <t>Блок 12</t>
        </is>
      </c>
      <c r="I4" s="19" t="inlineStr">
        <is>
          <t>Закрепить рабочие артефакты AI / ИИ-контура.</t>
        </is>
      </c>
    </row>
    <row r="5">
      <c r="A5" s="19" t="inlineStr">
        <is>
          <t>AI / ИИ-контроль исполнения решения</t>
        </is>
      </c>
      <c r="B5" s="19" t="inlineStr">
        <is>
          <t>Отслеживать выполнение решения и отклонения</t>
        </is>
      </c>
      <c r="C5" s="17" t="n"/>
      <c r="D5" s="19" t="inlineStr">
        <is>
          <t>Commit / фиксация</t>
        </is>
      </c>
      <c r="E5" s="19" t="inlineStr">
        <is>
          <t>AI / ИИ помогает закрепить решение, владельца и сроки.</t>
        </is>
      </c>
      <c r="F5" s="17" t="n"/>
      <c r="G5" s="19" t="inlineStr">
        <is>
          <t>Нет владельца или данных</t>
        </is>
      </c>
      <c r="H5" s="19" t="inlineStr">
        <is>
          <t>Блок 8 / Блок 5</t>
        </is>
      </c>
      <c r="I5" s="19" t="inlineStr">
        <is>
          <t>Вернуться к мандатам или Decision OS / системе решений.</t>
        </is>
      </c>
    </row>
    <row r="6">
      <c r="A6" s="19" t="inlineStr">
        <is>
          <t>AI / ИИ-обзор клиентских сигналов</t>
        </is>
      </c>
      <c r="B6" s="19" t="inlineStr">
        <is>
          <t>Собрать сигналы рынка и клиентов для C-level</t>
        </is>
      </c>
      <c r="C6" s="17" t="n"/>
      <c r="D6" s="19" t="inlineStr">
        <is>
          <t>Review / разбор</t>
        </is>
      </c>
      <c r="E6" s="19" t="inlineStr">
        <is>
          <t>AI / ИИ помогает найти уроки, ошибки и повторяемые сигналы.</t>
        </is>
      </c>
      <c r="F6" s="17" t="n"/>
      <c r="G6" s="17" t="n"/>
      <c r="H6" s="17" t="n"/>
      <c r="I6" s="17" t="n"/>
    </row>
    <row r="7">
      <c r="A7" s="19" t="inlineStr">
        <is>
          <t>AI / ИИ-поиск противоречий в данных</t>
        </is>
      </c>
      <c r="B7" s="19" t="inlineStr">
        <is>
          <t>Найти конфликт источников до обсуждения решения</t>
        </is>
      </c>
      <c r="C7" s="17" t="n"/>
      <c r="D7" s="17" t="n"/>
      <c r="E7" s="17" t="n"/>
      <c r="F7" s="17" t="n"/>
      <c r="G7" s="17" t="n"/>
      <c r="H7" s="17" t="n"/>
      <c r="I7" s="17" t="n"/>
    </row>
    <row r="8">
      <c r="A8" s="19" t="inlineStr">
        <is>
          <t>AI / ИИ-сценарное моделирование</t>
        </is>
      </c>
      <c r="B8" s="19" t="inlineStr">
        <is>
          <t>Сравнить варианты развития ситуации</t>
        </is>
      </c>
      <c r="C8" s="17" t="n"/>
      <c r="D8" s="17" t="n"/>
      <c r="E8" s="17" t="n"/>
      <c r="F8" s="17" t="n"/>
      <c r="G8" s="17" t="n"/>
      <c r="H8" s="17" t="n"/>
      <c r="I8" s="17" t="n"/>
    </row>
    <row r="9">
      <c r="A9" s="19" t="inlineStr">
        <is>
          <t>AI / ИИ-поддержка совещания C-level</t>
        </is>
      </c>
      <c r="B9" s="19" t="inlineStr">
        <is>
          <t>Собрать повестку, решения, владельцев и открытые вопросы</t>
        </is>
      </c>
      <c r="C9" s="17" t="n"/>
      <c r="D9" s="17" t="n"/>
      <c r="E9" s="17" t="n"/>
      <c r="F9" s="17" t="n"/>
      <c r="G9" s="17" t="n"/>
      <c r="H9" s="17" t="n"/>
      <c r="I9" s="17" t="n"/>
    </row>
    <row r="10">
      <c r="A10" s="19" t="inlineStr">
        <is>
          <t>AI / ИИ-карта рисков</t>
        </is>
      </c>
      <c r="B10" s="19" t="inlineStr">
        <is>
          <t>Собрать риск-сигналы по решениям и мандатам</t>
        </is>
      </c>
      <c r="C10" s="17" t="n"/>
      <c r="D10" s="17" t="n"/>
      <c r="E10" s="17" t="n"/>
      <c r="F10" s="17" t="n"/>
      <c r="G10" s="17" t="n"/>
      <c r="H10" s="17" t="n"/>
      <c r="I10" s="17" t="n"/>
    </row>
    <row r="11">
      <c r="A11" s="19" t="inlineStr">
        <is>
          <t>AI / ИИ-генерация решения без владельца</t>
        </is>
      </c>
      <c r="B11" s="19" t="inlineStr">
        <is>
          <t>Запрещённый сценарий: подмена управленческого решения</t>
        </is>
      </c>
      <c r="C11" s="17" t="n"/>
      <c r="D11" s="17" t="n"/>
      <c r="E11" s="17" t="n"/>
      <c r="F11" s="17" t="n"/>
      <c r="G11" s="17" t="n"/>
      <c r="H11" s="17" t="n"/>
      <c r="I11" s="17" t="n"/>
    </row>
  </sheetData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CLM_BLOCK_09_AI_CONTOUR_MODULE_RELEASE_V1_LIGHT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2026-07-07T15:54:17Z</dcterms:created>
  <dcterms:modified xmlns:dcterms="http://purl.org/dc/terms/" xmlns:xsi="http://www.w3.org/2001/XMLSchema-instance" xsi:type="dcterms:W3CDTF">2026-07-21T08:33:50Z</dcterms:modified>
</cp:coreProperties>
</file>