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Регистр" sheetId="3" state="visible" r:id="rId3"/>
    <sheet xmlns:r="http://schemas.openxmlformats.org/officeDocument/2006/relationships" name="03_Тест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Заполненность регистра 8 обязательных артефактов.</t>
      </text>
    </comment>
    <comment ref="B6" authorId="0" shapeId="0">
      <text>
        <t>Количество готовых артефактов минимального комплекта.</t>
      </text>
    </comment>
    <comment ref="B7" authorId="0" shapeId="0">
      <text>
        <t>Дубли нужно объединить до релиза.</t>
      </text>
    </comment>
    <comment ref="B8" authorId="0" shapeId="0">
      <text>
        <t>Количество артефактов, которые прошли тест отдельного файла.</t>
      </text>
    </comment>
    <comment ref="B9" authorId="0" shapeId="0">
      <text>
        <t>Artifact Library Score: готовность библиотеки к релизному использованию.</t>
      </text>
    </comment>
    <comment ref="B10" authorId="0" shapeId="0">
      <text>
        <t>Итоговый статус Блока 12.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библиотеки артефактов.</t>
      </text>
    </comment>
    <comment ref="B6" authorId="0" shapeId="0">
      <text>
        <t>Что передал Блок 11: какие изменения нужно закрепить.</t>
      </text>
    </comment>
    <comment ref="B7" authorId="0" shapeId="0">
      <text>
        <t>Какие управленческие изменения требуют артефактов.</t>
      </text>
    </comment>
    <comment ref="B8" authorId="0" shapeId="0">
      <text>
        <t>Кто отвечает за библиотеку и версии.</t>
      </text>
    </comment>
    <comment ref="B9" authorId="0" shapeId="0">
      <text>
        <t>Кому доступен артефакт: открыто, закрыто, Board / совет директоров, консультант.</t>
      </text>
    </comment>
    <comment ref="B10" authorId="0" shapeId="0">
      <text>
        <t>Как часто библиотека обновляется.</t>
      </text>
    </comment>
    <comment ref="B11" authorId="0" shapeId="0">
      <text>
        <t>Где хранятся артефакты или ссылки на них.</t>
      </text>
    </comment>
    <comment ref="B12" authorId="0" shapeId="0">
      <text>
        <t>Что запрещено создавать: дубли, редкие шаблоны, служебный шум.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D3" authorId="0" shapeId="0">
      <text>
        <t>Статус артефакта: минимальный комплект, расширение, встроен, кандидат, служебный слой.</t>
      </text>
    </comment>
    <comment ref="E3" authorId="0" shapeId="0">
      <text>
        <t>Роль или человек, отвечающий за актуальность.</t>
      </text>
    </comment>
    <comment ref="F3" authorId="0" shapeId="0">
      <text>
        <t>Кто имеет доступ к артефакту.</t>
      </text>
    </comment>
    <comment ref="G3" authorId="0" shapeId="0">
      <text>
        <t>Из какого блока или решения пришел артефакт.</t>
      </text>
    </comment>
    <comment ref="H3" authorId="0" shapeId="0">
      <text>
        <t>Когда обновляется: после изменения мандата, решения, панели, roadmap / дорожной карты.</t>
      </text>
    </comment>
    <comment ref="I3" authorId="0" shapeId="0">
      <text>
        <t>Версия: дата, номер или короткая метка.</t>
      </text>
    </comment>
    <comment ref="J3" authorId="0" shapeId="0">
      <text>
        <t>Да — артефакт дублирует другой и должен быть объединен.</t>
      </text>
    </comment>
    <comment ref="K3" authorId="0" shapeId="0">
      <text>
        <t>0 — не готов; 3 — готов и проверен.</t>
      </text>
    </comment>
    <comment ref="L3" authorId="0" shapeId="0">
      <text>
        <t>Автоматическое решение.</t>
      </text>
    </comment>
    <comment ref="E4" authorId="0" shapeId="0">
      <text>
        <t>Без владельца артефакт быстро становится мертвым файлом.</t>
      </text>
    </comment>
    <comment ref="J4" authorId="0" shapeId="0">
      <text>
        <t>Дубли — главный источник перегруза библиотеки.</t>
      </text>
    </comment>
    <comment ref="E5" authorId="0" shapeId="0">
      <text>
        <t>Без владельца артефакт быстро становится мертвым файлом.</t>
      </text>
    </comment>
    <comment ref="J5" authorId="0" shapeId="0">
      <text>
        <t>Дубли — главный источник перегруза библиотеки.</t>
      </text>
    </comment>
    <comment ref="E6" authorId="0" shapeId="0">
      <text>
        <t>Без владельца артефакт быстро становится мертвым файлом.</t>
      </text>
    </comment>
    <comment ref="J6" authorId="0" shapeId="0">
      <text>
        <t>Дубли — главный источник перегруза библиотеки.</t>
      </text>
    </comment>
    <comment ref="E7" authorId="0" shapeId="0">
      <text>
        <t>Без владельца артефакт быстро становится мертвым файлом.</t>
      </text>
    </comment>
    <comment ref="J7" authorId="0" shapeId="0">
      <text>
        <t>Дубли — главный источник перегруза библиотеки.</t>
      </text>
    </comment>
    <comment ref="E8" authorId="0" shapeId="0">
      <text>
        <t>Без владельца артефакт быстро становится мертвым файлом.</t>
      </text>
    </comment>
    <comment ref="J8" authorId="0" shapeId="0">
      <text>
        <t>Дубли — главный источник перегруза библиотеки.</t>
      </text>
    </comment>
    <comment ref="E9" authorId="0" shapeId="0">
      <text>
        <t>Без владельца артефакт быстро становится мертвым файлом.</t>
      </text>
    </comment>
    <comment ref="J9" authorId="0" shapeId="0">
      <text>
        <t>Дубли — главный источник перегруза библиотеки.</t>
      </text>
    </comment>
    <comment ref="E10" authorId="0" shapeId="0">
      <text>
        <t>Без владельца артефакт быстро становится мертвым файлом.</t>
      </text>
    </comment>
    <comment ref="J10" authorId="0" shapeId="0">
      <text>
        <t>Дубли — главный источник перегруза библиотеки.</t>
      </text>
    </comment>
    <comment ref="E11" authorId="0" shapeId="0">
      <text>
        <t>Без владельца артефакт быстро становится мертвым файлом.</t>
      </text>
    </comment>
    <comment ref="J11" authorId="0" shapeId="0">
      <text>
        <t>Дубли — главный источник перегруза библиотеки.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B3" authorId="0" shapeId="0">
      <text>
        <t>1 — без отдельного файла CLM нельзя применить, проверить или повторить.</t>
      </text>
    </comment>
    <comment ref="C3" authorId="0" shapeId="0">
      <text>
        <t>1 — файл снижает ручной труд, а не добавляет бюрократию.</t>
      </text>
    </comment>
    <comment ref="D3" authorId="0" shapeId="0">
      <text>
        <t>1 — есть владелец версии.</t>
      </text>
    </comment>
    <comment ref="E3" authorId="0" shapeId="0">
      <text>
        <t>1 — файл не дублирует уже существующий артефакт.</t>
      </text>
    </comment>
    <comment ref="F3" authorId="0" shapeId="0">
      <text>
        <t>1 — нужен доступ, контроль или история изменений.</t>
      </text>
    </comment>
    <comment ref="G3" authorId="0" shapeId="0">
      <text>
        <t>Короткий факт или причина решения.</t>
      </text>
    </comment>
    <comment ref="H3" authorId="0" shapeId="0">
      <text>
        <t>Автоматический балл нужности отдельного файла.</t>
      </text>
    </comment>
    <comment ref="I3" authorId="0" shapeId="0">
      <text>
        <t>Автоматическое решение: отдельно, встроить, не создавать.</t>
      </text>
    </comment>
    <comment ref="J3" authorId="0" shapeId="0">
      <text>
        <t>Где создать или куда встроить.</t>
      </text>
    </comment>
    <comment ref="K3" authorId="0" shapeId="0">
      <text>
        <t>Автоматический статус.</t>
      </text>
    </comment>
    <comment ref="G4" authorId="0" shapeId="0">
      <text>
        <t>Решение должно объяснять, почему артефакт нужен отдельно или почему он встроен.</t>
      </text>
    </comment>
    <comment ref="G5" authorId="0" shapeId="0">
      <text>
        <t>Решение должно объяснять, почему артефакт нужен отдельно или почему он встроен.</t>
      </text>
    </comment>
    <comment ref="G6" authorId="0" shapeId="0">
      <text>
        <t>Решение должно объяснять, почему артефакт нужен отдельно или почему он встроен.</t>
      </text>
    </comment>
    <comment ref="G7" authorId="0" shapeId="0">
      <text>
        <t>Решение должно объяснять, почему артефакт нужен отдельно или почему он встроен.</t>
      </text>
    </comment>
    <comment ref="G8" authorId="0" shapeId="0">
      <text>
        <t>Решение должно объяснять, почему артефакт нужен отдельно или почему он встроен.</t>
      </text>
    </comment>
    <comment ref="G9" authorId="0" shapeId="0">
      <text>
        <t>Решение должно объяснять, почему артефакт нужен отдельно или почему он встроен.</t>
      </text>
    </comment>
    <comment ref="G10" authorId="0" shapeId="0">
      <text>
        <t>Решение должно объяснять, почему артефакт нужен отдельно или почему он встроен.</t>
      </text>
    </comment>
    <comment ref="G11" authorId="0" shapeId="0">
      <text>
        <t>Решение должно объяснять, почему артефакт нужен отдельно или почему он встроен.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  <comment ref="B14" authorId="0" shapeId="0">
      <text>
        <t>Расчетная ячейка. Не заполнять вручную.</t>
      </text>
    </comment>
    <comment ref="B15" authorId="0" shapeId="0">
      <text>
        <t>Расчетная ячейка. Не заполнять вручную.</t>
      </text>
    </comment>
    <comment ref="B16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Финальный вывод по комплекту: релиз, доработка, объединение дублей или не выпускать.</t>
      </text>
    </comment>
    <comment ref="B10" authorId="0" shapeId="0">
      <text>
        <t>Первое действие должно закрыть дубль, владельца, доступ или версию.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8 обязательных артефактов минимального комплекта CLM.</t>
      </text>
    </comment>
    <comment ref="E1" authorId="0" shapeId="0">
      <text>
        <t>Статусы артефактов.</t>
      </text>
    </comment>
    <comment ref="H1" authorId="0" shapeId="0">
      <text>
        <t>Следующий шаг после Блока 12.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28" customWidth="1" style="1" min="2" max="2"/>
    <col width="26" customWidth="1" style="1" min="3" max="3"/>
    <col width="28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6" t="inlineStr">
        <is>
          <t>CLM Блок 12. Панель библиотеки артефактов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Комментарий</t>
        </is>
      </c>
      <c r="E3" s="17" t="n"/>
      <c r="F3" s="17" t="n"/>
      <c r="G3" s="17" t="n"/>
      <c r="H3" s="17" t="n"/>
    </row>
    <row r="4">
      <c r="A4" s="19" t="inlineStr">
        <is>
          <t>Клиент</t>
        </is>
      </c>
      <c r="B4" s="19">
        <f>IF('01_Ввод'!B4="","",'01_Ввод'!B4)</f>
        <v/>
      </c>
      <c r="C4" s="19" t="str"/>
      <c r="D4" s="19" t="str"/>
      <c r="E4" s="17" t="n"/>
      <c r="F4" s="17" t="n"/>
      <c r="G4" s="17" t="n"/>
      <c r="H4" s="17" t="n"/>
    </row>
    <row r="5">
      <c r="A5" s="19" t="inlineStr">
        <is>
          <t>Заполненность регистра</t>
        </is>
      </c>
      <c r="B5" s="20">
        <f>IF('04_Расчет'!B13="","Нет данных",'04_Расчет'!B4)</f>
        <v/>
      </c>
      <c r="C5" s="19" t="inlineStr">
        <is>
          <t>100%</t>
        </is>
      </c>
      <c r="D5" s="19" t="str"/>
      <c r="E5" s="17" t="n"/>
      <c r="F5" s="17" t="n"/>
      <c r="G5" s="17" t="n"/>
      <c r="H5" s="17" t="n"/>
    </row>
    <row r="6">
      <c r="A6" s="19" t="inlineStr">
        <is>
          <t>Готовых артефактов</t>
        </is>
      </c>
      <c r="B6" s="19">
        <f>IF('04_Расчет'!B13="","Нет данных",'04_Расчет'!B5)</f>
        <v/>
      </c>
      <c r="C6" s="19" t="inlineStr">
        <is>
          <t>8</t>
        </is>
      </c>
      <c r="D6" s="19" t="str"/>
      <c r="E6" s="17" t="n"/>
      <c r="F6" s="17" t="n"/>
      <c r="G6" s="17" t="n"/>
      <c r="H6" s="17" t="n"/>
    </row>
    <row r="7">
      <c r="A7" s="19" t="inlineStr">
        <is>
          <t>Дублей к объединению</t>
        </is>
      </c>
      <c r="B7" s="19">
        <f>IF('04_Расчет'!B13="","Нет данных",'04_Расчет'!B7)</f>
        <v/>
      </c>
      <c r="C7" s="19" t="inlineStr">
        <is>
          <t>0</t>
        </is>
      </c>
      <c r="D7" s="19" t="str"/>
      <c r="E7" s="17" t="n"/>
      <c r="F7" s="17" t="n"/>
      <c r="G7" s="17" t="n"/>
      <c r="H7" s="17" t="n"/>
    </row>
    <row r="8">
      <c r="A8" s="19" t="inlineStr">
        <is>
          <t>Отдельных файлов</t>
        </is>
      </c>
      <c r="B8" s="19">
        <f>IF('04_Расчет'!B13="","Нет данных",'04_Расчет'!B9)</f>
        <v/>
      </c>
      <c r="C8" s="19" t="inlineStr">
        <is>
          <t>по факту</t>
        </is>
      </c>
      <c r="D8" s="19" t="str"/>
      <c r="E8" s="17" t="n"/>
      <c r="F8" s="17" t="n"/>
      <c r="G8" s="17" t="n"/>
      <c r="H8" s="17" t="n"/>
    </row>
    <row r="9">
      <c r="A9" s="19" t="inlineStr">
        <is>
          <t>Artifact Library Score</t>
        </is>
      </c>
      <c r="B9" s="21">
        <f>IF('04_Расчет'!B13="","Нет данных",'04_Расчет'!B13)</f>
        <v/>
      </c>
      <c r="C9" s="19" t="inlineStr">
        <is>
          <t>75+</t>
        </is>
      </c>
      <c r="D9" s="19" t="str"/>
      <c r="E9" s="17" t="n"/>
      <c r="F9" s="17" t="n"/>
      <c r="G9" s="17" t="n"/>
      <c r="H9" s="17" t="n"/>
    </row>
    <row r="10">
      <c r="A10" s="19" t="inlineStr">
        <is>
          <t>Статус</t>
        </is>
      </c>
      <c r="B10" s="19">
        <f>IF('04_Расчет'!B14="","Нет данных",'04_Расчет'!B14)</f>
        <v/>
      </c>
      <c r="C10" s="19" t="inlineStr">
        <is>
          <t>GO / HOLD / NO-GO</t>
        </is>
      </c>
      <c r="D10" s="19" t="str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Минимальный комплект: 8 артефактов</t>
        </is>
      </c>
      <c r="E12" s="17" t="n"/>
      <c r="F12" s="23" t="inlineStr">
        <is>
          <t>Что проверяет Блок 12</t>
        </is>
      </c>
    </row>
    <row r="13">
      <c r="A13" s="24" t="inlineStr">
        <is>
          <t>Артефакт</t>
        </is>
      </c>
      <c r="B13" s="24" t="inlineStr">
        <is>
          <t>Контур</t>
        </is>
      </c>
      <c r="C13" s="24" t="inlineStr">
        <is>
          <t>Решение</t>
        </is>
      </c>
      <c r="D13" s="24" t="inlineStr">
        <is>
          <t>Владелец</t>
        </is>
      </c>
      <c r="E13" s="17" t="n"/>
      <c r="F13" s="25" t="inlineStr">
        <is>
          <t>Блок 12 не является складом документов. Он фиксирует только рабочие артефакты CLM.</t>
        </is>
      </c>
      <c r="G13" s="31" t="n"/>
      <c r="H13" s="32" t="n"/>
    </row>
    <row r="14">
      <c r="A14" s="19" t="inlineStr">
        <is>
          <t>Матрица мандатов</t>
        </is>
      </c>
      <c r="B14" s="19" t="inlineStr">
        <is>
          <t>Роли и мандаты</t>
        </is>
      </c>
      <c r="C14" s="19">
        <f>'02_Регистр'!L4</f>
        <v/>
      </c>
      <c r="D14" s="19">
        <f>'02_Регистр'!E4</f>
        <v/>
      </c>
      <c r="E14" s="17" t="n"/>
      <c r="F14" s="25" t="inlineStr">
        <is>
          <t>Decision Loop / цикл решений встроен в Decision Book / книгу решений и не считается девятым обязательным файлом.</t>
        </is>
      </c>
      <c r="G14" s="31" t="n"/>
      <c r="H14" s="32" t="n"/>
    </row>
    <row r="15">
      <c r="A15" s="19" t="inlineStr">
        <is>
          <t>RACI / матрица ответственности</t>
        </is>
      </c>
      <c r="B15" s="19" t="inlineStr">
        <is>
          <t>Роли и мандаты</t>
        </is>
      </c>
      <c r="C15" s="19">
        <f>'02_Регистр'!L5</f>
        <v/>
      </c>
      <c r="D15" s="19">
        <f>'02_Регистр'!E5</f>
        <v/>
      </c>
      <c r="E15" s="17" t="n"/>
      <c r="F15" s="25" t="inlineStr">
        <is>
          <t>Отдельный файл создаётся только после жесткого теста нужности.</t>
        </is>
      </c>
      <c r="G15" s="31" t="n"/>
      <c r="H15" s="32" t="n"/>
    </row>
    <row r="16">
      <c r="A16" s="19" t="inlineStr">
        <is>
          <t>Decision Book / книга решений</t>
        </is>
      </c>
      <c r="B16" s="19" t="inlineStr">
        <is>
          <t>Decision OS / система решений</t>
        </is>
      </c>
      <c r="C16" s="19">
        <f>'02_Регистр'!L6</f>
        <v/>
      </c>
      <c r="D16" s="19">
        <f>'02_Регистр'!E6</f>
        <v/>
      </c>
      <c r="E16" s="17" t="n"/>
      <c r="F16" s="17" t="n"/>
      <c r="G16" s="17" t="n"/>
      <c r="H16" s="17" t="n"/>
    </row>
    <row r="17">
      <c r="A17" s="19" t="inlineStr">
        <is>
          <t>CLM Dashboard / панель</t>
        </is>
      </c>
      <c r="B17" s="19" t="inlineStr">
        <is>
          <t>Панель управляемости</t>
        </is>
      </c>
      <c r="C17" s="19">
        <f>'02_Регистр'!L7</f>
        <v/>
      </c>
      <c r="D17" s="19">
        <f>'02_Регистр'!E7</f>
        <v/>
      </c>
      <c r="E17" s="17" t="n"/>
      <c r="F17" s="17" t="n"/>
      <c r="G17" s="17" t="n"/>
      <c r="H17" s="17" t="n"/>
    </row>
    <row r="18">
      <c r="A18" s="19" t="inlineStr">
        <is>
          <t>Recovery Loop / контур восстановления</t>
        </is>
      </c>
      <c r="B18" s="19" t="inlineStr">
        <is>
          <t>Устойчивость</t>
        </is>
      </c>
      <c r="C18" s="19">
        <f>'02_Регистр'!L8</f>
        <v/>
      </c>
      <c r="D18" s="19">
        <f>'02_Регистр'!E8</f>
        <v/>
      </c>
      <c r="E18" s="17" t="n"/>
      <c r="F18" s="17" t="n"/>
      <c r="G18" s="17" t="n"/>
      <c r="H18" s="17" t="n"/>
    </row>
    <row r="19">
      <c r="A19" s="19" t="inlineStr">
        <is>
          <t>AI / ИИ-допуск</t>
        </is>
      </c>
      <c r="B19" s="19" t="inlineStr">
        <is>
          <t>AI / ИИ-контур</t>
        </is>
      </c>
      <c r="C19" s="19">
        <f>'02_Регистр'!L9</f>
        <v/>
      </c>
      <c r="D19" s="19">
        <f>'02_Регистр'!E9</f>
        <v/>
      </c>
      <c r="E19" s="17" t="n"/>
      <c r="F19" s="17" t="n"/>
      <c r="G19" s="17" t="n"/>
      <c r="H19" s="17" t="n"/>
    </row>
    <row r="20">
      <c r="A20" s="19" t="inlineStr">
        <is>
          <t>Data Pack / пакет данных</t>
        </is>
      </c>
      <c r="B20" s="19" t="inlineStr">
        <is>
          <t>Данные</t>
        </is>
      </c>
      <c r="C20" s="19">
        <f>'02_Регистр'!L10</f>
        <v/>
      </c>
      <c r="D20" s="19">
        <f>'02_Регистр'!E10</f>
        <v/>
      </c>
      <c r="E20" s="17" t="n"/>
      <c r="F20" s="17" t="n"/>
      <c r="G20" s="17" t="n"/>
      <c r="H20" s="17" t="n"/>
    </row>
    <row r="21">
      <c r="A21" s="19" t="inlineStr">
        <is>
          <t>Roadmap / дорожная карта CLM</t>
        </is>
      </c>
      <c r="B21" s="19" t="inlineStr">
        <is>
          <t>Roadmap / дорожная карта</t>
        </is>
      </c>
      <c r="C21" s="19">
        <f>'02_Регистр'!L11</f>
        <v/>
      </c>
      <c r="D21" s="19">
        <f>'02_Регистр'!E11</f>
        <v/>
      </c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28" t="inlineStr">
        <is>
          <t>Как пользоваться</t>
        </is>
      </c>
    </row>
    <row r="24">
      <c r="A24" s="19" t="inlineStr">
        <is>
          <t>1. Заполните 01_Ввод: вывод Блока 11, владельца библиотеки, доступ и ритм обновления.</t>
        </is>
      </c>
      <c r="B24" s="19" t="str"/>
      <c r="C24" s="19" t="str"/>
      <c r="D24" s="19" t="str"/>
      <c r="E24" s="19" t="str"/>
      <c r="F24" s="19" t="str"/>
      <c r="G24" s="19" t="str"/>
      <c r="H24" s="19" t="str"/>
    </row>
    <row r="25">
      <c r="A25" s="19" t="inlineStr">
        <is>
          <t>2. На 02_Регистр проверьте 8 артефактов: владелец, доступ, источник, версия, дубли, готовность.</t>
        </is>
      </c>
      <c r="B25" s="19" t="str"/>
      <c r="C25" s="19" t="str"/>
      <c r="D25" s="19" t="str"/>
      <c r="E25" s="19" t="str"/>
      <c r="F25" s="19" t="str"/>
      <c r="G25" s="19" t="str"/>
      <c r="H25" s="19" t="str"/>
    </row>
    <row r="26">
      <c r="A26" s="19" t="inlineStr">
        <is>
          <t>3. На 03_Тест решите, что держать отдельным файлом, что встроить, а что не создавать.</t>
        </is>
      </c>
      <c r="B26" s="19" t="str"/>
      <c r="C26" s="19" t="str"/>
      <c r="D26" s="19" t="str"/>
      <c r="E26" s="19" t="str"/>
      <c r="F26" s="19" t="str"/>
      <c r="G26" s="19" t="str"/>
      <c r="H26" s="19" t="str"/>
    </row>
    <row r="27">
      <c r="A27" s="19" t="inlineStr">
        <is>
          <t>4. 04_Расчет не заполняется вручную.</t>
        </is>
      </c>
      <c r="B27" s="19" t="str"/>
      <c r="C27" s="19" t="str"/>
      <c r="D27" s="19" t="str"/>
      <c r="E27" s="19" t="str"/>
      <c r="F27" s="19" t="str"/>
      <c r="G27" s="19" t="str"/>
      <c r="H27" s="19" t="str"/>
    </row>
    <row r="28">
      <c r="A28" s="19" t="inlineStr">
        <is>
          <t>5. 05_Отчет фиксирует финальный релизный контроль.</t>
        </is>
      </c>
      <c r="B28" s="19" t="str"/>
      <c r="C28" s="19" t="str"/>
      <c r="D28" s="19" t="str"/>
      <c r="E28" s="19" t="str"/>
      <c r="F28" s="19" t="str"/>
      <c r="G28" s="19" t="str"/>
      <c r="H28" s="19" t="str"/>
    </row>
  </sheetData>
  <mergeCells count="7">
    <mergeCell ref="F14:H14"/>
    <mergeCell ref="F13:H13"/>
    <mergeCell ref="A12:D12"/>
    <mergeCell ref="F12:H12"/>
    <mergeCell ref="A1:H1"/>
    <mergeCell ref="A23:H23"/>
    <mergeCell ref="F15:H15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9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CLM Блок 12. Ввод библиотеки артефактов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Поле</t>
        </is>
      </c>
      <c r="B3" s="18" t="inlineStr">
        <is>
          <t>Значение</t>
        </is>
      </c>
      <c r="C3" s="17" t="n"/>
      <c r="D3" s="17" t="n"/>
      <c r="E3" s="17" t="n"/>
      <c r="F3" s="17" t="n"/>
      <c r="G3" s="17" t="n"/>
      <c r="H3" s="17" t="n"/>
    </row>
    <row r="4">
      <c r="A4" s="19" t="inlineStr">
        <is>
          <t>Клиент</t>
        </is>
      </c>
      <c r="B4" s="29" t="str"/>
      <c r="C4" s="17" t="n"/>
      <c r="D4" s="17" t="n"/>
      <c r="E4" s="17" t="n"/>
      <c r="F4" s="17" t="n"/>
      <c r="G4" s="17" t="n"/>
      <c r="H4" s="17" t="n"/>
    </row>
    <row r="5">
      <c r="A5" s="19" t="inlineStr">
        <is>
          <t>Дата запуска</t>
        </is>
      </c>
      <c r="B5" s="30" t="str"/>
      <c r="C5" s="17" t="n"/>
      <c r="D5" s="17" t="n"/>
      <c r="E5" s="17" t="n"/>
      <c r="F5" s="17" t="n"/>
      <c r="G5" s="17" t="n"/>
      <c r="H5" s="17" t="n"/>
    </row>
    <row r="6">
      <c r="A6" s="19" t="inlineStr">
        <is>
          <t>Вывод из Блока 11</t>
        </is>
      </c>
      <c r="B6" s="29" t="str"/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Какие изменения нужно закрепить</t>
        </is>
      </c>
      <c r="B7" s="29" t="str"/>
      <c r="C7" s="17" t="n"/>
      <c r="D7" s="17" t="n"/>
      <c r="E7" s="17" t="n"/>
      <c r="F7" s="17" t="n"/>
      <c r="G7" s="17" t="n"/>
      <c r="H7" s="17" t="n"/>
    </row>
    <row r="8">
      <c r="A8" s="19" t="inlineStr">
        <is>
          <t>Владелец библиотеки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Правило доступа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Ритм обновления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9" t="inlineStr">
        <is>
          <t>Хранилище / ссылка</t>
        </is>
      </c>
      <c r="B11" s="29" t="str"/>
      <c r="C11" s="17" t="n"/>
      <c r="D11" s="17" t="n"/>
      <c r="E11" s="17" t="n"/>
      <c r="F11" s="17" t="n"/>
      <c r="G11" s="17" t="n"/>
      <c r="H11" s="17" t="n"/>
    </row>
    <row r="12">
      <c r="A12" s="19" t="inlineStr">
        <is>
          <t>Граница: что не создавать</t>
        </is>
      </c>
      <c r="B12" s="29" t="str"/>
      <c r="C12" s="17" t="n"/>
      <c r="D12" s="17" t="n"/>
      <c r="E12" s="17" t="n"/>
      <c r="F12" s="17" t="n"/>
      <c r="G12" s="17" t="n"/>
      <c r="H12" s="17" t="n"/>
    </row>
    <row r="13">
      <c r="A13" s="19" t="inlineStr">
        <is>
          <t>Комментарий</t>
        </is>
      </c>
      <c r="B13" s="29" t="str"/>
      <c r="C13" s="17" t="n"/>
      <c r="D13" s="17" t="n"/>
      <c r="E13" s="17" t="n"/>
      <c r="F13" s="17" t="n"/>
      <c r="G13" s="17" t="n"/>
      <c r="H13" s="17" t="n"/>
    </row>
    <row r="14">
      <c r="A14" s="19" t="inlineStr">
        <is>
          <t>Версия библиотеки</t>
        </is>
      </c>
      <c r="B14" s="29" t="str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22" t="inlineStr">
        <is>
          <t>Правило заполнения</t>
        </is>
      </c>
      <c r="C16" s="17" t="n"/>
      <c r="D16" s="17" t="n"/>
      <c r="E16" s="17" t="n"/>
      <c r="F16" s="17" t="n"/>
      <c r="G16" s="17" t="n"/>
      <c r="H16" s="17" t="n"/>
    </row>
    <row r="17">
      <c r="A17" s="19" t="inlineStr">
        <is>
          <t>1</t>
        </is>
      </c>
      <c r="B17" s="19" t="inlineStr">
        <is>
          <t>Блок 12 не является складом документов. Он фиксирует только рабочие артефакты CLM.</t>
        </is>
      </c>
      <c r="C17" s="17" t="n"/>
      <c r="D17" s="17" t="n"/>
      <c r="E17" s="17" t="n"/>
      <c r="F17" s="17" t="n"/>
      <c r="G17" s="17" t="n"/>
      <c r="H17" s="17" t="n"/>
    </row>
    <row r="18">
      <c r="A18" s="19" t="inlineStr">
        <is>
          <t>2</t>
        </is>
      </c>
      <c r="B18" s="19" t="inlineStr">
        <is>
          <t>Отдельный файл создается только если без него CLM нельзя применить, проверить или повторить.</t>
        </is>
      </c>
      <c r="C18" s="17" t="n"/>
      <c r="D18" s="17" t="n"/>
      <c r="E18" s="17" t="n"/>
      <c r="F18" s="17" t="n"/>
      <c r="G18" s="17" t="n"/>
      <c r="H18" s="17" t="n"/>
    </row>
    <row r="19">
      <c r="A19" s="19" t="inlineStr">
        <is>
          <t>3</t>
        </is>
      </c>
      <c r="B19" s="19" t="inlineStr">
        <is>
          <t>Decision Loop / цикл решений встроен в Decision Book / книгу решений и не считается девятым обязательным файлом.</t>
        </is>
      </c>
      <c r="C19" s="17" t="n"/>
      <c r="D19" s="17" t="n"/>
      <c r="E19" s="17" t="n"/>
      <c r="F19" s="17" t="n"/>
      <c r="G19" s="17" t="n"/>
      <c r="H19" s="17" t="n"/>
    </row>
    <row r="20">
      <c r="A20" s="19" t="inlineStr">
        <is>
          <t>4</t>
        </is>
      </c>
      <c r="B20" s="19" t="inlineStr">
        <is>
          <t>Каждый артефакт должен иметь владельца, доступ, версию и ритм обновления.</t>
        </is>
      </c>
      <c r="C20" s="17" t="n"/>
      <c r="D20" s="17" t="n"/>
      <c r="E20" s="17" t="n"/>
      <c r="F20" s="17" t="n"/>
      <c r="G20" s="17" t="n"/>
      <c r="H20" s="17" t="n"/>
    </row>
  </sheetData>
  <mergeCells count="2">
    <mergeCell ref="A16:B16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42" customWidth="1" style="1" min="2" max="2"/>
    <col width="28" customWidth="1" style="1" min="3" max="3"/>
    <col width="26" customWidth="1" style="1" min="4" max="4"/>
    <col width="24" customWidth="1" style="1" min="5" max="5"/>
    <col width="24" customWidth="1" style="1" min="6" max="6"/>
    <col width="20" customWidth="1" style="1" min="7" max="7"/>
    <col width="24" customWidth="1" style="1" min="8" max="8"/>
    <col width="14" customWidth="1" style="1" min="9" max="9"/>
    <col width="14" customWidth="1" style="1" min="10" max="10"/>
    <col width="14" customWidth="1" style="1" min="11" max="11"/>
    <col width="16" customWidth="1" style="1" min="12" max="12"/>
  </cols>
  <sheetData>
    <row r="1">
      <c r="A1" s="16" t="inlineStr">
        <is>
          <t>Регистр артефактов CLM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8" t="inlineStr">
        <is>
          <t>Артефакт</t>
        </is>
      </c>
      <c r="B3" s="18" t="inlineStr">
        <is>
          <t>Назначение</t>
        </is>
      </c>
      <c r="C3" s="18" t="inlineStr">
        <is>
          <t>Контур</t>
        </is>
      </c>
      <c r="D3" s="18" t="inlineStr">
        <is>
          <t>Статус</t>
        </is>
      </c>
      <c r="E3" s="18" t="inlineStr">
        <is>
          <t>Владелец</t>
        </is>
      </c>
      <c r="F3" s="18" t="inlineStr">
        <is>
          <t>Доступ</t>
        </is>
      </c>
      <c r="G3" s="18" t="inlineStr">
        <is>
          <t>Источник / блок</t>
        </is>
      </c>
      <c r="H3" s="18" t="inlineStr">
        <is>
          <t>Ритм обновления</t>
        </is>
      </c>
      <c r="I3" s="18" t="inlineStr">
        <is>
          <t>Версия</t>
        </is>
      </c>
      <c r="J3" s="18" t="inlineStr">
        <is>
          <t>Дубль? Да/Нет</t>
        </is>
      </c>
      <c r="K3" s="18" t="inlineStr">
        <is>
          <t>Готовность 0-3</t>
        </is>
      </c>
      <c r="L3" s="18" t="inlineStr">
        <is>
          <t>Решение</t>
        </is>
      </c>
    </row>
    <row r="4">
      <c r="A4" s="19" t="inlineStr">
        <is>
          <t>Матрица мандатов</t>
        </is>
      </c>
      <c r="B4" s="19" t="inlineStr">
        <is>
          <t>Закрепляет роли, права решений и границы автономии</t>
        </is>
      </c>
      <c r="C4" s="19" t="inlineStr">
        <is>
          <t>Роли и мандаты</t>
        </is>
      </c>
      <c r="D4" s="29" t="inlineStr">
        <is>
          <t>Минимальный комплект</t>
        </is>
      </c>
      <c r="E4" s="29" t="str"/>
      <c r="F4" s="29" t="str"/>
      <c r="G4" s="29" t="str"/>
      <c r="H4" s="29" t="str"/>
      <c r="I4" s="29" t="str"/>
      <c r="J4" s="29" t="str"/>
      <c r="K4" s="29" t="str"/>
      <c r="L4" s="19">
        <f>IF(K4="","Не заполнено",IF(J4="Да","Объединить",IF(OR(E4="",F4="",G4=""),"Доработать",IF(K4&gt;=2,"Готов","Доработать"))))</f>
        <v/>
      </c>
    </row>
    <row r="5">
      <c r="A5" s="19" t="inlineStr">
        <is>
          <t>RACI / матрица ответственности</t>
        </is>
      </c>
      <c r="B5" s="19" t="inlineStr">
        <is>
          <t>Фиксирует участие ролей в действии или решении</t>
        </is>
      </c>
      <c r="C5" s="19" t="inlineStr">
        <is>
          <t>Роли и мандаты</t>
        </is>
      </c>
      <c r="D5" s="29" t="inlineStr">
        <is>
          <t>Минимальный комплект</t>
        </is>
      </c>
      <c r="E5" s="29" t="str"/>
      <c r="F5" s="29" t="str"/>
      <c r="G5" s="29" t="str"/>
      <c r="H5" s="29" t="str"/>
      <c r="I5" s="29" t="str"/>
      <c r="J5" s="29" t="str"/>
      <c r="K5" s="29" t="str"/>
      <c r="L5" s="19">
        <f>IF(K5="","Не заполнено",IF(J5="Да","Объединить",IF(OR(E5="",F5="",G5=""),"Доработать",IF(K5&gt;=2,"Готов","Доработать"))))</f>
        <v/>
      </c>
    </row>
    <row r="6">
      <c r="A6" s="19" t="inlineStr">
        <is>
          <t>Decision Book / книга решений</t>
        </is>
      </c>
      <c r="B6" s="19" t="inlineStr">
        <is>
          <t>Хранит решения, цикл решения, обязательства и разбор</t>
        </is>
      </c>
      <c r="C6" s="19" t="inlineStr">
        <is>
          <t>Decision OS / система решений</t>
        </is>
      </c>
      <c r="D6" s="29" t="inlineStr">
        <is>
          <t>Минимальный комплект</t>
        </is>
      </c>
      <c r="E6" s="29" t="str"/>
      <c r="F6" s="29" t="str"/>
      <c r="G6" s="29" t="str"/>
      <c r="H6" s="29" t="str"/>
      <c r="I6" s="29" t="str"/>
      <c r="J6" s="29" t="str"/>
      <c r="K6" s="29" t="str"/>
      <c r="L6" s="19">
        <f>IF(K6="","Не заполнено",IF(J6="Да","Объединить",IF(OR(E6="",F6="",G6=""),"Доработать",IF(K6&gt;=2,"Готов","Доработать"))))</f>
        <v/>
      </c>
    </row>
    <row r="7">
      <c r="A7" s="19" t="inlineStr">
        <is>
          <t>CLM Dashboard / панель</t>
        </is>
      </c>
      <c r="B7" s="19" t="inlineStr">
        <is>
          <t>Показывает состояние управляемости</t>
        </is>
      </c>
      <c r="C7" s="19" t="inlineStr">
        <is>
          <t>Панель управляемости</t>
        </is>
      </c>
      <c r="D7" s="29" t="inlineStr">
        <is>
          <t>Минимальный комплект</t>
        </is>
      </c>
      <c r="E7" s="29" t="str"/>
      <c r="F7" s="29" t="str"/>
      <c r="G7" s="29" t="str"/>
      <c r="H7" s="29" t="str"/>
      <c r="I7" s="29" t="str"/>
      <c r="J7" s="29" t="str"/>
      <c r="K7" s="29" t="str"/>
      <c r="L7" s="19">
        <f>IF(K7="","Не заполнено",IF(J7="Да","Объединить",IF(OR(E7="",F7="",G7=""),"Доработать",IF(K7&gt;=2,"Готов","Доработать"))))</f>
        <v/>
      </c>
    </row>
    <row r="8">
      <c r="A8" s="19" t="inlineStr">
        <is>
          <t>Recovery Loop / контур восстановления</t>
        </is>
      </c>
      <c r="B8" s="19" t="inlineStr">
        <is>
          <t>Закрепляет восстановление после сбоя</t>
        </is>
      </c>
      <c r="C8" s="19" t="inlineStr">
        <is>
          <t>Устойчивость</t>
        </is>
      </c>
      <c r="D8" s="29" t="inlineStr">
        <is>
          <t>Минимальный комплект</t>
        </is>
      </c>
      <c r="E8" s="29" t="str"/>
      <c r="F8" s="29" t="str"/>
      <c r="G8" s="29" t="str"/>
      <c r="H8" s="29" t="str"/>
      <c r="I8" s="29" t="str"/>
      <c r="J8" s="29" t="str"/>
      <c r="K8" s="29" t="str"/>
      <c r="L8" s="19">
        <f>IF(K8="","Не заполнено",IF(J8="Да","Объединить",IF(OR(E8="",F8="",G8=""),"Доработать",IF(K8&gt;=2,"Готов","Доработать"))))</f>
        <v/>
      </c>
    </row>
    <row r="9">
      <c r="A9" s="19" t="inlineStr">
        <is>
          <t>AI / ИИ-допуск</t>
        </is>
      </c>
      <c r="B9" s="19" t="inlineStr">
        <is>
          <t>Фиксирует правила запуска AI / ИИ-сценариев</t>
        </is>
      </c>
      <c r="C9" s="19" t="inlineStr">
        <is>
          <t>AI / ИИ-контур</t>
        </is>
      </c>
      <c r="D9" s="29" t="inlineStr">
        <is>
          <t>Минимальный комплект</t>
        </is>
      </c>
      <c r="E9" s="29" t="str"/>
      <c r="F9" s="29" t="str"/>
      <c r="G9" s="29" t="str"/>
      <c r="H9" s="29" t="str"/>
      <c r="I9" s="29" t="str"/>
      <c r="J9" s="29" t="str"/>
      <c r="K9" s="29" t="str"/>
      <c r="L9" s="19">
        <f>IF(K9="","Не заполнено",IF(J9="Да","Объединить",IF(OR(E9="",F9="",G9=""),"Доработать",IF(K9&gt;=2,"Готов","Доработать"))))</f>
        <v/>
      </c>
    </row>
    <row r="10">
      <c r="A10" s="19" t="inlineStr">
        <is>
          <t>Data Pack / пакет данных</t>
        </is>
      </c>
      <c r="B10" s="19" t="inlineStr">
        <is>
          <t>Собирает данные для управленческого решения</t>
        </is>
      </c>
      <c r="C10" s="19" t="inlineStr">
        <is>
          <t>Данные</t>
        </is>
      </c>
      <c r="D10" s="29" t="inlineStr">
        <is>
          <t>Минимальный комплект</t>
        </is>
      </c>
      <c r="E10" s="29" t="str"/>
      <c r="F10" s="29" t="str"/>
      <c r="G10" s="29" t="str"/>
      <c r="H10" s="29" t="str"/>
      <c r="I10" s="29" t="str"/>
      <c r="J10" s="29" t="str"/>
      <c r="K10" s="29" t="str"/>
      <c r="L10" s="19">
        <f>IF(K10="","Не заполнено",IF(J10="Да","Объединить",IF(OR(E10="",F10="",G10=""),"Доработать",IF(K10&gt;=2,"Готов","Доработать"))))</f>
        <v/>
      </c>
    </row>
    <row r="11">
      <c r="A11" s="19" t="inlineStr">
        <is>
          <t>Roadmap / дорожная карта CLM</t>
        </is>
      </c>
      <c r="B11" s="19" t="inlineStr">
        <is>
          <t>Закрепляет программу изменений</t>
        </is>
      </c>
      <c r="C11" s="19" t="inlineStr">
        <is>
          <t>Roadmap / дорожная карта</t>
        </is>
      </c>
      <c r="D11" s="29" t="inlineStr">
        <is>
          <t>Минимальный комплект</t>
        </is>
      </c>
      <c r="E11" s="29" t="str"/>
      <c r="F11" s="29" t="str"/>
      <c r="G11" s="29" t="str"/>
      <c r="H11" s="29" t="str"/>
      <c r="I11" s="29" t="str"/>
      <c r="J11" s="29" t="str"/>
      <c r="K11" s="29" t="str"/>
      <c r="L11" s="19">
        <f>IF(K11="","Не заполнено",IF(J11="Да","Объединить",IF(OR(E11="",F11="",G11=""),"Доработать",IF(K11&gt;=2,"Готов","Доработать"))))</f>
        <v/>
      </c>
    </row>
  </sheetData>
  <mergeCells count="1">
    <mergeCell ref="A1:L1"/>
  </mergeCells>
  <dataValidations count="3">
    <dataValidation sqref="D4:D11" showDropDown="0" showInputMessage="0" showErrorMessage="0" allowBlank="0" type="list">
      <formula1>"Минимальный комплект,Расширенная библиотека,Встроен в CLM,Кандидат на оптимизацию,Служебный слой"</formula1>
    </dataValidation>
    <dataValidation sqref="J4:J11" showDropDown="0" showInputMessage="0" showErrorMessage="0" allowBlank="0" type="list">
      <formula1>"Да,Нет"</formula1>
    </dataValidation>
    <dataValidation sqref="K4:K11" showDropDown="0" showInputMessage="0" showErrorMessage="0" allowBlank="0" type="whole" operator="between">
      <formula1>0</formula1>
      <formula2>3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8" customWidth="1" style="1" min="3" max="3"/>
    <col width="18" customWidth="1" style="1" min="4" max="4"/>
    <col width="22" customWidth="1" style="1" min="5" max="5"/>
    <col width="18" customWidth="1" style="1" min="6" max="6"/>
    <col width="34" customWidth="1" style="1" min="7" max="7"/>
    <col width="14" customWidth="1" style="1" min="8" max="8"/>
    <col width="24" customWidth="1" style="1" min="9" max="9"/>
    <col width="34" customWidth="1" style="1" min="10" max="10"/>
    <col width="20" customWidth="1" style="1" min="11" max="11"/>
  </cols>
  <sheetData>
    <row r="1">
      <c r="A1" s="16" t="inlineStr">
        <is>
          <t>Жёсткий тест отдельного файла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</row>
    <row r="3">
      <c r="A3" s="18" t="inlineStr">
        <is>
          <t>Артефакт / кандидат</t>
        </is>
      </c>
      <c r="B3" s="18" t="inlineStr">
        <is>
          <t>Без файла CLM не работает? 0/1</t>
        </is>
      </c>
      <c r="C3" s="18" t="inlineStr">
        <is>
          <t>Снижает ручной труд? 0/1</t>
        </is>
      </c>
      <c r="D3" s="18" t="inlineStr">
        <is>
          <t>Есть владелец версии? 0/1</t>
        </is>
      </c>
      <c r="E3" s="18" t="inlineStr">
        <is>
          <t>Не дублирует существующий артефакт? 0/1</t>
        </is>
      </c>
      <c r="F3" s="18" t="inlineStr">
        <is>
          <t>Нужен доступ / контроль? 0/1</t>
        </is>
      </c>
      <c r="G3" s="18" t="inlineStr">
        <is>
          <t>Комментарий</t>
        </is>
      </c>
      <c r="H3" s="18" t="inlineStr">
        <is>
          <t>Балл нужности</t>
        </is>
      </c>
      <c r="I3" s="18" t="inlineStr">
        <is>
          <t>Решение</t>
        </is>
      </c>
      <c r="J3" s="18" t="inlineStr">
        <is>
          <t>Куда встроить / создать</t>
        </is>
      </c>
      <c r="K3" s="18" t="inlineStr">
        <is>
          <t>Статус</t>
        </is>
      </c>
    </row>
    <row r="4">
      <c r="A4" s="19" t="inlineStr">
        <is>
          <t>Матрица мандатов</t>
        </is>
      </c>
      <c r="B4" s="29" t="str"/>
      <c r="C4" s="29" t="str"/>
      <c r="D4" s="29" t="str"/>
      <c r="E4" s="29" t="str"/>
      <c r="F4" s="29" t="str"/>
      <c r="G4" s="29" t="str"/>
      <c r="H4" s="19">
        <f>IF(COUNTA(B4:F4)&lt;5,"",SUM(B4:F4))</f>
        <v/>
      </c>
      <c r="I4" s="19">
        <f>IF(H4="","Не заполнено",IF(H4&gt;=4,"Создать / держать отдельно",IF(H4&gt;=2,"Встроить в блок","Не создавать")))</f>
        <v/>
      </c>
      <c r="J4" s="29" t="str"/>
      <c r="K4" s="19">
        <f>IF(I4="Не заполнено","Не заполнено",IF(I4="Создать / держать отдельно","Готов к отдельному файлу",IF(I4="Встроить в блок","Встроенный артефакт","Исключить")))</f>
        <v/>
      </c>
    </row>
    <row r="5">
      <c r="A5" s="19" t="inlineStr">
        <is>
          <t>RACI / матрица ответственности</t>
        </is>
      </c>
      <c r="B5" s="29" t="str"/>
      <c r="C5" s="29" t="str"/>
      <c r="D5" s="29" t="str"/>
      <c r="E5" s="29" t="str"/>
      <c r="F5" s="29" t="str"/>
      <c r="G5" s="29" t="str"/>
      <c r="H5" s="19">
        <f>IF(COUNTA(B5:F5)&lt;5,"",SUM(B5:F5))</f>
        <v/>
      </c>
      <c r="I5" s="19">
        <f>IF(H5="","Не заполнено",IF(H5&gt;=4,"Создать / держать отдельно",IF(H5&gt;=2,"Встроить в блок","Не создавать")))</f>
        <v/>
      </c>
      <c r="J5" s="29" t="str"/>
      <c r="K5" s="19">
        <f>IF(I5="Не заполнено","Не заполнено",IF(I5="Создать / держать отдельно","Готов к отдельному файлу",IF(I5="Встроить в блок","Встроенный артефакт","Исключить")))</f>
        <v/>
      </c>
    </row>
    <row r="6">
      <c r="A6" s="19" t="inlineStr">
        <is>
          <t>Decision Book / книга решений</t>
        </is>
      </c>
      <c r="B6" s="29" t="str"/>
      <c r="C6" s="29" t="str"/>
      <c r="D6" s="29" t="str"/>
      <c r="E6" s="29" t="str"/>
      <c r="F6" s="29" t="str"/>
      <c r="G6" s="29" t="str"/>
      <c r="H6" s="19">
        <f>IF(COUNTA(B6:F6)&lt;5,"",SUM(B6:F6))</f>
        <v/>
      </c>
      <c r="I6" s="19">
        <f>IF(H6="","Не заполнено",IF(H6&gt;=4,"Создать / держать отдельно",IF(H6&gt;=2,"Встроить в блок","Не создавать")))</f>
        <v/>
      </c>
      <c r="J6" s="29" t="str"/>
      <c r="K6" s="19">
        <f>IF(I6="Не заполнено","Не заполнено",IF(I6="Создать / держать отдельно","Готов к отдельному файлу",IF(I6="Встроить в блок","Встроенный артефакт","Исключить")))</f>
        <v/>
      </c>
    </row>
    <row r="7">
      <c r="A7" s="19" t="inlineStr">
        <is>
          <t>CLM Dashboard / панель</t>
        </is>
      </c>
      <c r="B7" s="29" t="str"/>
      <c r="C7" s="29" t="str"/>
      <c r="D7" s="29" t="str"/>
      <c r="E7" s="29" t="str"/>
      <c r="F7" s="29" t="str"/>
      <c r="G7" s="29" t="str"/>
      <c r="H7" s="19">
        <f>IF(COUNTA(B7:F7)&lt;5,"",SUM(B7:F7))</f>
        <v/>
      </c>
      <c r="I7" s="19">
        <f>IF(H7="","Не заполнено",IF(H7&gt;=4,"Создать / держать отдельно",IF(H7&gt;=2,"Встроить в блок","Не создавать")))</f>
        <v/>
      </c>
      <c r="J7" s="29" t="str"/>
      <c r="K7" s="19">
        <f>IF(I7="Не заполнено","Не заполнено",IF(I7="Создать / держать отдельно","Готов к отдельному файлу",IF(I7="Встроить в блок","Встроенный артефакт","Исключить")))</f>
        <v/>
      </c>
    </row>
    <row r="8">
      <c r="A8" s="19" t="inlineStr">
        <is>
          <t>Recovery Loop / контур восстановления</t>
        </is>
      </c>
      <c r="B8" s="29" t="str"/>
      <c r="C8" s="29" t="str"/>
      <c r="D8" s="29" t="str"/>
      <c r="E8" s="29" t="str"/>
      <c r="F8" s="29" t="str"/>
      <c r="G8" s="29" t="str"/>
      <c r="H8" s="19">
        <f>IF(COUNTA(B8:F8)&lt;5,"",SUM(B8:F8))</f>
        <v/>
      </c>
      <c r="I8" s="19">
        <f>IF(H8="","Не заполнено",IF(H8&gt;=4,"Создать / держать отдельно",IF(H8&gt;=2,"Встроить в блок","Не создавать")))</f>
        <v/>
      </c>
      <c r="J8" s="29" t="str"/>
      <c r="K8" s="19">
        <f>IF(I8="Не заполнено","Не заполнено",IF(I8="Создать / держать отдельно","Готов к отдельному файлу",IF(I8="Встроить в блок","Встроенный артефакт","Исключить")))</f>
        <v/>
      </c>
    </row>
    <row r="9">
      <c r="A9" s="19" t="inlineStr">
        <is>
          <t>AI / ИИ-допуск</t>
        </is>
      </c>
      <c r="B9" s="29" t="str"/>
      <c r="C9" s="29" t="str"/>
      <c r="D9" s="29" t="str"/>
      <c r="E9" s="29" t="str"/>
      <c r="F9" s="29" t="str"/>
      <c r="G9" s="29" t="str"/>
      <c r="H9" s="19">
        <f>IF(COUNTA(B9:F9)&lt;5,"",SUM(B9:F9))</f>
        <v/>
      </c>
      <c r="I9" s="19">
        <f>IF(H9="","Не заполнено",IF(H9&gt;=4,"Создать / держать отдельно",IF(H9&gt;=2,"Встроить в блок","Не создавать")))</f>
        <v/>
      </c>
      <c r="J9" s="29" t="str"/>
      <c r="K9" s="19">
        <f>IF(I9="Не заполнено","Не заполнено",IF(I9="Создать / держать отдельно","Готов к отдельному файлу",IF(I9="Встроить в блок","Встроенный артефакт","Исключить")))</f>
        <v/>
      </c>
    </row>
    <row r="10">
      <c r="A10" s="19" t="inlineStr">
        <is>
          <t>Data Pack / пакет данных</t>
        </is>
      </c>
      <c r="B10" s="29" t="str"/>
      <c r="C10" s="29" t="str"/>
      <c r="D10" s="29" t="str"/>
      <c r="E10" s="29" t="str"/>
      <c r="F10" s="29" t="str"/>
      <c r="G10" s="29" t="str"/>
      <c r="H10" s="19">
        <f>IF(COUNTA(B10:F10)&lt;5,"",SUM(B10:F10))</f>
        <v/>
      </c>
      <c r="I10" s="19">
        <f>IF(H10="","Не заполнено",IF(H10&gt;=4,"Создать / держать отдельно",IF(H10&gt;=2,"Встроить в блок","Не создавать")))</f>
        <v/>
      </c>
      <c r="J10" s="29" t="str"/>
      <c r="K10" s="19">
        <f>IF(I10="Не заполнено","Не заполнено",IF(I10="Создать / держать отдельно","Готов к отдельному файлу",IF(I10="Встроить в блок","Встроенный артефакт","Исключить")))</f>
        <v/>
      </c>
    </row>
    <row r="11">
      <c r="A11" s="19" t="inlineStr">
        <is>
          <t>Roadmap / дорожная карта CLM</t>
        </is>
      </c>
      <c r="B11" s="29" t="str"/>
      <c r="C11" s="29" t="str"/>
      <c r="D11" s="29" t="str"/>
      <c r="E11" s="29" t="str"/>
      <c r="F11" s="29" t="str"/>
      <c r="G11" s="29" t="str"/>
      <c r="H11" s="19">
        <f>IF(COUNTA(B11:F11)&lt;5,"",SUM(B11:F11))</f>
        <v/>
      </c>
      <c r="I11" s="19">
        <f>IF(H11="","Не заполнено",IF(H11&gt;=4,"Создать / держать отдельно",IF(H11&gt;=2,"Встроить в блок","Не создавать")))</f>
        <v/>
      </c>
      <c r="J11" s="29" t="str"/>
      <c r="K11" s="19">
        <f>IF(I11="Не заполнено","Не заполнено",IF(I11="Создать / держать отдельно","Готов к отдельному файлу",IF(I11="Встроить в блок","Встроенный артефакт","Исключить")))</f>
        <v/>
      </c>
    </row>
  </sheetData>
  <mergeCells count="1">
    <mergeCell ref="A1:K1"/>
  </mergeCells>
  <dataValidations count="5">
    <dataValidation sqref="B4:B11" showDropDown="0" showInputMessage="0" showErrorMessage="0" allowBlank="0" type="whole" operator="between">
      <formula1>0</formula1>
      <formula2>1</formula2>
    </dataValidation>
    <dataValidation sqref="C4:C11" showDropDown="0" showInputMessage="0" showErrorMessage="0" allowBlank="0" type="whole" operator="between">
      <formula1>0</formula1>
      <formula2>1</formula2>
    </dataValidation>
    <dataValidation sqref="D4:D11" showDropDown="0" showInputMessage="0" showErrorMessage="0" allowBlank="0" type="whole" operator="between">
      <formula1>0</formula1>
      <formula2>1</formula2>
    </dataValidation>
    <dataValidation sqref="E4:E11" showDropDown="0" showInputMessage="0" showErrorMessage="0" allowBlank="0" type="whole" operator="between">
      <formula1>0</formula1>
      <formula2>1</formula2>
    </dataValidation>
    <dataValidation sqref="F4:F11" showDropDown="0" showInputMessage="0" showErrorMessage="0" allowBlank="0" type="whole" operator="between">
      <formula1>0</formula1>
      <formula2>1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4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6" t="inlineStr">
        <is>
          <t>Расчёт библиотеки артефактов</t>
        </is>
      </c>
      <c r="F1" s="16" t="n"/>
      <c r="G1" s="16" t="n"/>
      <c r="H1" s="16" t="n"/>
      <c r="I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Источник</t>
        </is>
      </c>
      <c r="E3" s="18" t="inlineStr">
        <is>
          <t>Комментарий</t>
        </is>
      </c>
      <c r="F3" s="17" t="n"/>
      <c r="G3" s="23" t="inlineStr">
        <is>
          <t>Как читать расчет</t>
        </is>
      </c>
    </row>
    <row r="4">
      <c r="A4" s="19" t="inlineStr">
        <is>
          <t>Заполненность регистра</t>
        </is>
      </c>
      <c r="B4" s="20">
        <f>IFERROR(COUNT('02_Регистр'!K4:K11)/8,0)</f>
        <v/>
      </c>
      <c r="C4" s="19" t="inlineStr">
        <is>
          <t>100%</t>
        </is>
      </c>
      <c r="D4" s="19" t="inlineStr">
        <is>
          <t>02_Регистр</t>
        </is>
      </c>
      <c r="E4" s="19" t="str"/>
      <c r="F4" s="17" t="n"/>
      <c r="G4" s="25" t="inlineStr">
        <is>
          <t>Artifact Library Score показывает, готова ли библиотека закрепить CLM без лишней бюрократии.</t>
        </is>
      </c>
      <c r="H4" s="31" t="n"/>
      <c r="I4" s="32" t="n"/>
    </row>
    <row r="5">
      <c r="A5" s="19" t="inlineStr">
        <is>
          <t>Готовых артефактов</t>
        </is>
      </c>
      <c r="B5" s="19">
        <f>COUNTIF('02_Регистр'!L4:L11,"Готов")</f>
        <v/>
      </c>
      <c r="C5" s="19" t="inlineStr">
        <is>
          <t>8</t>
        </is>
      </c>
      <c r="D5" s="19" t="inlineStr">
        <is>
          <t>02_Регистр</t>
        </is>
      </c>
      <c r="E5" s="19" t="str"/>
      <c r="F5" s="17" t="n"/>
      <c r="G5" s="25" t="inlineStr">
        <is>
          <t>Дубли и артефакты без владельца снижают готовность даже при полном списке файлов.</t>
        </is>
      </c>
      <c r="H5" s="31" t="n"/>
      <c r="I5" s="32" t="n"/>
    </row>
    <row r="6">
      <c r="A6" s="19" t="inlineStr">
        <is>
          <t>Артефактов на доработке</t>
        </is>
      </c>
      <c r="B6" s="19">
        <f>COUNTIF('02_Регистр'!L4:L11,"Доработать")</f>
        <v/>
      </c>
      <c r="C6" s="19" t="inlineStr">
        <is>
          <t>0</t>
        </is>
      </c>
      <c r="D6" s="19" t="inlineStr">
        <is>
          <t>02_Регистр</t>
        </is>
      </c>
      <c r="E6" s="19" t="str"/>
      <c r="F6" s="17" t="n"/>
      <c r="G6" s="17" t="n"/>
      <c r="H6" s="17" t="n"/>
      <c r="I6" s="17" t="n"/>
    </row>
    <row r="7">
      <c r="A7" s="19" t="inlineStr">
        <is>
          <t>Дублей к объединению</t>
        </is>
      </c>
      <c r="B7" s="19">
        <f>COUNTIF('02_Регистр'!L4:L11,"Объединить")</f>
        <v/>
      </c>
      <c r="C7" s="19" t="inlineStr">
        <is>
          <t>0</t>
        </is>
      </c>
      <c r="D7" s="19" t="inlineStr">
        <is>
          <t>02_Регистр</t>
        </is>
      </c>
      <c r="E7" s="19" t="str"/>
      <c r="F7" s="17" t="n"/>
      <c r="G7" s="17" t="n"/>
      <c r="H7" s="17" t="n"/>
      <c r="I7" s="17" t="n"/>
    </row>
    <row r="8">
      <c r="A8" s="19" t="inlineStr">
        <is>
          <t>Заполненность теста отдельного файла</t>
        </is>
      </c>
      <c r="B8" s="20">
        <f>IFERROR(COUNT('03_Тест'!H4:H11)/8,0)</f>
        <v/>
      </c>
      <c r="C8" s="19" t="inlineStr">
        <is>
          <t>100%</t>
        </is>
      </c>
      <c r="D8" s="19" t="inlineStr">
        <is>
          <t>03_Тест</t>
        </is>
      </c>
      <c r="E8" s="19" t="str"/>
      <c r="F8" s="17" t="n"/>
      <c r="G8" s="17" t="n"/>
      <c r="H8" s="17" t="n"/>
      <c r="I8" s="17" t="n"/>
    </row>
    <row r="9">
      <c r="A9" s="19" t="inlineStr">
        <is>
          <t>Отдельных файлов</t>
        </is>
      </c>
      <c r="B9" s="19">
        <f>COUNTIF('03_Тест'!I4:I11,"Создать / держать отдельно")</f>
        <v/>
      </c>
      <c r="C9" s="19" t="inlineStr">
        <is>
          <t>по факту</t>
        </is>
      </c>
      <c r="D9" s="19" t="inlineStr">
        <is>
          <t>03_Тест</t>
        </is>
      </c>
      <c r="E9" s="19" t="str"/>
      <c r="F9" s="17" t="n"/>
      <c r="G9" s="17" t="n"/>
      <c r="H9" s="17" t="n"/>
      <c r="I9" s="17" t="n"/>
    </row>
    <row r="10">
      <c r="A10" s="19" t="inlineStr">
        <is>
          <t>Встроенных артефактов</t>
        </is>
      </c>
      <c r="B10" s="19">
        <f>COUNTIF('03_Тест'!I4:I11,"Встроить в блок")</f>
        <v/>
      </c>
      <c r="C10" s="19" t="inlineStr">
        <is>
          <t>по факту</t>
        </is>
      </c>
      <c r="D10" s="19" t="inlineStr">
        <is>
          <t>03_Тест</t>
        </is>
      </c>
      <c r="E10" s="19" t="str"/>
      <c r="F10" s="17" t="n"/>
      <c r="G10" s="17" t="n"/>
      <c r="H10" s="17" t="n"/>
      <c r="I10" s="17" t="n"/>
    </row>
    <row r="11">
      <c r="A11" s="19" t="inlineStr">
        <is>
          <t>Исключенных кандидатов</t>
        </is>
      </c>
      <c r="B11" s="19">
        <f>COUNTIF('03_Тест'!I4:I11,"Не создавать")</f>
        <v/>
      </c>
      <c r="C11" s="19" t="inlineStr">
        <is>
          <t>по факту</t>
        </is>
      </c>
      <c r="D11" s="19" t="inlineStr">
        <is>
          <t>03_Тест</t>
        </is>
      </c>
      <c r="E11" s="19" t="str"/>
      <c r="F11" s="17" t="n"/>
      <c r="G11" s="17" t="n"/>
      <c r="H11" s="17" t="n"/>
      <c r="I11" s="17" t="n"/>
    </row>
    <row r="12">
      <c r="A12" s="19" t="inlineStr">
        <is>
          <t>Артефактов с доступом / контролем</t>
        </is>
      </c>
      <c r="B12" s="19">
        <f>COUNTIF('03_Тест'!F4:F11,1)</f>
        <v/>
      </c>
      <c r="C12" s="19" t="inlineStr">
        <is>
          <t>8</t>
        </is>
      </c>
      <c r="D12" s="19" t="inlineStr">
        <is>
          <t>03_Тест</t>
        </is>
      </c>
      <c r="E12" s="19" t="str"/>
      <c r="F12" s="17" t="n"/>
      <c r="G12" s="17" t="n"/>
      <c r="H12" s="17" t="n"/>
      <c r="I12" s="17" t="n"/>
    </row>
    <row r="13">
      <c r="A13" s="19" t="inlineStr">
        <is>
          <t>Artifact Library Score</t>
        </is>
      </c>
      <c r="B13" s="21">
        <f>IF(OR(B4&lt;1,B8&lt;1),"",ROUND((B5/8*0.45+B12/8*0.25+(1-MIN(1,(B6+B7)/8))*0.3)*100,0))</f>
        <v/>
      </c>
      <c r="C13" s="19" t="inlineStr">
        <is>
          <t>75+</t>
        </is>
      </c>
      <c r="D13" s="19" t="inlineStr">
        <is>
          <t>Сводный показатель</t>
        </is>
      </c>
      <c r="E13" s="19" t="str"/>
      <c r="F13" s="17" t="n"/>
      <c r="G13" s="17" t="n"/>
      <c r="H13" s="17" t="n"/>
      <c r="I13" s="17" t="n"/>
    </row>
    <row r="14">
      <c r="A14" s="19" t="inlineStr">
        <is>
          <t>Статус</t>
        </is>
      </c>
      <c r="B14" s="19">
        <f>IF(B13="","",IF(B13&gt;=75,"GO / запускать",IF(B13&gt;=50,"HOLD / пауза","NO-GO / остановить")))</f>
        <v/>
      </c>
      <c r="C14" s="19" t="inlineStr">
        <is>
          <t>GO / HOLD / NO-GO</t>
        </is>
      </c>
      <c r="D14" s="19" t="inlineStr">
        <is>
          <t>Порог Score</t>
        </is>
      </c>
      <c r="E14" s="19" t="str"/>
      <c r="F14" s="17" t="n"/>
      <c r="G14" s="17" t="n"/>
      <c r="H14" s="17" t="n"/>
      <c r="I14" s="17" t="n"/>
    </row>
    <row r="15">
      <c r="A15" s="19" t="inlineStr">
        <is>
          <t>Главный риск</t>
        </is>
      </c>
      <c r="B15" s="19">
        <f>IF(B13="","Недостаточно данных",IF(B7&gt;0,"Есть дубли к объединению",IF(B6&gt;0,"Есть артефакты на доработке",IF(B12&lt;8,"Не у всех артефактов есть доступ / контроль","Библиотека готова к релизу"))))</f>
        <v/>
      </c>
      <c r="C15" s="19" t="inlineStr">
        <is>
          <t>Автовывод</t>
        </is>
      </c>
      <c r="D15" s="19" t="inlineStr">
        <is>
          <t>Score + дубли</t>
        </is>
      </c>
      <c r="E15" s="19" t="str"/>
      <c r="F15" s="17" t="n"/>
      <c r="G15" s="17" t="n"/>
      <c r="H15" s="17" t="n"/>
      <c r="I15" s="17" t="n"/>
    </row>
    <row r="16">
      <c r="A16" s="19" t="inlineStr">
        <is>
          <t>Финальный вывод</t>
        </is>
      </c>
      <c r="B16" s="19">
        <f>IF('05_Отчет'!B9="","",'05_Отчет'!B9)</f>
        <v/>
      </c>
      <c r="C16" s="19" t="inlineStr">
        <is>
          <t>Релиз / доработка</t>
        </is>
      </c>
      <c r="D16" s="19" t="inlineStr">
        <is>
          <t>05_Отчет</t>
        </is>
      </c>
      <c r="E16" s="19" t="str"/>
      <c r="F16" s="17" t="n"/>
      <c r="G16" s="17" t="n"/>
      <c r="H16" s="17" t="n"/>
      <c r="I16" s="17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44" customWidth="1" style="1" min="2" max="2"/>
    <col width="24" customWidth="1" style="1" min="3" max="3"/>
    <col width="4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Отчёт Блока 12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24" t="inlineStr">
        <is>
          <t>Поле</t>
        </is>
      </c>
      <c r="B3" s="24" t="inlineStr">
        <is>
          <t>Вывод</t>
        </is>
      </c>
      <c r="C3" s="17" t="n"/>
      <c r="D3" s="17" t="n"/>
      <c r="E3" s="17" t="n"/>
      <c r="F3" s="23" t="inlineStr">
        <is>
          <t>Формула вывода</t>
        </is>
      </c>
    </row>
    <row r="4">
      <c r="A4" s="19" t="inlineStr">
        <is>
          <t>Клиент</t>
        </is>
      </c>
      <c r="B4" s="19">
        <f>IF('01_Ввод'!B4="","",'01_Ввод'!B4)</f>
        <v/>
      </c>
      <c r="C4" s="17" t="n"/>
      <c r="D4" s="17" t="n"/>
      <c r="E4" s="17" t="n"/>
      <c r="F4" s="25" t="inlineStr">
        <is>
          <t>Изменение из Блока 11 → артефакт → владелец → доступ → версия → тест отдельного файла → релиз CLM.</t>
        </is>
      </c>
      <c r="G4" s="31" t="n"/>
      <c r="H4" s="32" t="n"/>
    </row>
    <row r="5">
      <c r="A5" s="19" t="inlineStr">
        <is>
          <t>Artifact Library Score</t>
        </is>
      </c>
      <c r="B5" s="21">
        <f>IF('04_Расчет'!B13="","",'04_Расчет'!B13)</f>
        <v/>
      </c>
      <c r="C5" s="17" t="n"/>
      <c r="D5" s="17" t="n"/>
      <c r="E5" s="17" t="n"/>
      <c r="F5" s="17" t="n"/>
      <c r="G5" s="17" t="n"/>
      <c r="H5" s="17" t="n"/>
    </row>
    <row r="6">
      <c r="A6" s="19" t="inlineStr">
        <is>
          <t>Статус</t>
        </is>
      </c>
      <c r="B6" s="19">
        <f>'04_Расчет'!B14</f>
        <v/>
      </c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Главный риск</t>
        </is>
      </c>
      <c r="B7" s="19">
        <f>'04_Расчет'!B15</f>
        <v/>
      </c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Финальный вывод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Комментарий консультанта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Первое действие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Решение для 4 сторон</t>
        </is>
      </c>
      <c r="E12" s="17" t="n"/>
      <c r="F12" s="17" t="n"/>
      <c r="G12" s="17" t="n"/>
      <c r="H12" s="17" t="n"/>
    </row>
    <row r="13">
      <c r="A13" s="18" t="inlineStr">
        <is>
          <t>Сторона</t>
        </is>
      </c>
      <c r="B13" s="18" t="inlineStr">
        <is>
          <t>Что показать</t>
        </is>
      </c>
      <c r="C13" s="18" t="inlineStr">
        <is>
          <t>Что не включать</t>
        </is>
      </c>
      <c r="D13" s="18" t="inlineStr">
        <is>
          <t>Решение</t>
        </is>
      </c>
      <c r="E13" s="17" t="n"/>
      <c r="F13" s="17" t="n"/>
      <c r="G13" s="17" t="n"/>
      <c r="H13" s="17" t="n"/>
    </row>
    <row r="14">
      <c r="A14" s="19" t="inlineStr">
        <is>
          <t>CEO / генеральный директор</t>
        </is>
      </c>
      <c r="B14" s="19" t="inlineStr">
        <is>
          <t>Минимальный комплект, владельцев, доступ и правила обновления</t>
        </is>
      </c>
      <c r="C14" s="19" t="inlineStr">
        <is>
          <t>Склад всех возможных шаблонов</t>
        </is>
      </c>
      <c r="D14" s="29" t="str"/>
      <c r="E14" s="17" t="n"/>
      <c r="F14" s="17" t="n"/>
      <c r="G14" s="17" t="n"/>
      <c r="H14" s="17" t="n"/>
    </row>
    <row r="15">
      <c r="A15" s="19" t="inlineStr">
        <is>
          <t>C-level-команда / первый управленческий круг</t>
        </is>
      </c>
      <c r="B15" s="19" t="inlineStr">
        <is>
          <t>Какими артефактами команда реально пользуется</t>
        </is>
      </c>
      <c r="C15" s="19" t="inlineStr">
        <is>
          <t>Закрытые или служебные документы</t>
        </is>
      </c>
      <c r="D15" s="29" t="str"/>
      <c r="E15" s="17" t="n"/>
      <c r="F15" s="17" t="n"/>
      <c r="G15" s="17" t="n"/>
      <c r="H15" s="17" t="n"/>
    </row>
    <row r="16">
      <c r="A16" s="19" t="inlineStr">
        <is>
          <t>Владелец компании</t>
        </is>
      </c>
      <c r="B16" s="19" t="inlineStr">
        <is>
          <t>Готовность CLM к повторяемому внедрению и контролю</t>
        </is>
      </c>
      <c r="C16" s="19" t="inlineStr">
        <is>
          <t>Методологические черновики</t>
        </is>
      </c>
      <c r="D16" s="29" t="str"/>
      <c r="E16" s="17" t="n"/>
      <c r="F16" s="17" t="n"/>
      <c r="G16" s="17" t="n"/>
      <c r="H16" s="17" t="n"/>
    </row>
    <row r="17">
      <c r="A17" s="19" t="inlineStr">
        <is>
          <t>Board / совет директоров</t>
        </is>
      </c>
      <c r="B17" s="19" t="inlineStr">
        <is>
          <t>Финальный статус комплекта, контроль версий и доступ</t>
        </is>
      </c>
      <c r="C17" s="19" t="inlineStr">
        <is>
          <t>Технические детали шаблонов</t>
        </is>
      </c>
      <c r="D17" s="29" t="str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Финальный контроль релиза</t>
        </is>
      </c>
      <c r="E19" s="17" t="n"/>
      <c r="F19" s="17" t="n"/>
      <c r="G19" s="17" t="n"/>
      <c r="H19" s="17" t="n"/>
    </row>
    <row r="20">
      <c r="A20" s="18" t="inlineStr">
        <is>
          <t>Проверка</t>
        </is>
      </c>
      <c r="B20" s="18" t="inlineStr">
        <is>
          <t>Ответственный</t>
        </is>
      </c>
      <c r="C20" s="18" t="inlineStr">
        <is>
          <t>Статус</t>
        </is>
      </c>
      <c r="D20" s="18" t="inlineStr">
        <is>
          <t>Комментарий</t>
        </is>
      </c>
      <c r="E20" s="17" t="n"/>
      <c r="F20" s="17" t="n"/>
      <c r="G20" s="17" t="n"/>
      <c r="H20" s="17" t="n"/>
    </row>
    <row r="21">
      <c r="A21" s="19" t="inlineStr">
        <is>
          <t>8 обязательных артефактов очищены от дублей</t>
        </is>
      </c>
      <c r="B21" s="29" t="str"/>
      <c r="C21" s="29" t="str"/>
      <c r="D21" s="29" t="str"/>
      <c r="E21" s="17" t="n"/>
      <c r="F21" s="17" t="n"/>
      <c r="G21" s="17" t="n"/>
      <c r="H21" s="17" t="n"/>
    </row>
    <row r="22">
      <c r="A22" s="19" t="inlineStr">
        <is>
          <t>Есть владельцы и доступ</t>
        </is>
      </c>
      <c r="B22" s="29" t="str"/>
      <c r="C22" s="29" t="str"/>
      <c r="D22" s="29" t="str"/>
      <c r="E22" s="17" t="n"/>
      <c r="F22" s="17" t="n"/>
      <c r="G22" s="17" t="n"/>
      <c r="H22" s="17" t="n"/>
    </row>
    <row r="23">
      <c r="A23" s="19" t="inlineStr">
        <is>
          <t>Есть версии и ритм обновления</t>
        </is>
      </c>
      <c r="B23" s="29" t="str"/>
      <c r="C23" s="29" t="str"/>
      <c r="D23" s="29" t="str"/>
      <c r="E23" s="17" t="n"/>
      <c r="F23" s="17" t="n"/>
      <c r="G23" s="17" t="n"/>
      <c r="H23" s="17" t="n"/>
    </row>
    <row r="24">
      <c r="A24" s="19" t="inlineStr">
        <is>
          <t>Отдельные файлы прошли жесткий тест</t>
        </is>
      </c>
      <c r="B24" s="29" t="str"/>
      <c r="C24" s="29" t="str"/>
      <c r="D24" s="29" t="str"/>
      <c r="E24" s="17" t="n"/>
      <c r="F24" s="17" t="n"/>
      <c r="G24" s="17" t="n"/>
      <c r="H24" s="17" t="n"/>
    </row>
    <row r="25">
      <c r="A25" s="19" t="inlineStr">
        <is>
          <t>FAQ и Glossary / глоссарий не дублируются внутри блока</t>
        </is>
      </c>
      <c r="B25" s="29" t="str"/>
      <c r="C25" s="29" t="str"/>
      <c r="D25" s="29" t="str"/>
      <c r="E25" s="17" t="n"/>
      <c r="F25" s="17" t="n"/>
      <c r="G25" s="17" t="n"/>
      <c r="H25" s="17" t="n"/>
    </row>
    <row r="26">
      <c r="A26" s="19" t="inlineStr">
        <is>
          <t>Комплект готов к релизу</t>
        </is>
      </c>
      <c r="B26" s="29" t="str"/>
      <c r="C26" s="29" t="str"/>
      <c r="D26" s="29" t="str"/>
      <c r="E26" s="17" t="n"/>
      <c r="F26" s="17" t="n"/>
      <c r="G26" s="17" t="n"/>
      <c r="H26" s="17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"Релиз CLM,Доработать библиотеку,Объединить дубли,Не выпускать"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34" customWidth="1" style="1" min="1" max="1"/>
    <col width="58" customWidth="1" style="1" min="2" max="2"/>
    <col width="30" customWidth="1" style="1" min="3" max="3"/>
    <col width="4" customWidth="1" style="1" min="4" max="4"/>
    <col width="28" customWidth="1" style="1" min="5" max="5"/>
    <col width="62" customWidth="1" style="1" min="6" max="6"/>
    <col width="4" customWidth="1" style="1" min="7" max="7"/>
    <col width="30" customWidth="1" style="1" min="8" max="8"/>
    <col width="20" customWidth="1" style="1" min="9" max="9"/>
    <col width="62" customWidth="1" style="1" min="10" max="10"/>
  </cols>
  <sheetData>
    <row r="1">
      <c r="A1" s="18" t="inlineStr">
        <is>
          <t>Артефакт</t>
        </is>
      </c>
      <c r="B1" s="18" t="inlineStr">
        <is>
          <t>Назначение</t>
        </is>
      </c>
      <c r="C1" s="18" t="inlineStr">
        <is>
          <t>Контур</t>
        </is>
      </c>
      <c r="D1" s="16" t="n"/>
      <c r="E1" s="24" t="inlineStr">
        <is>
          <t>Статус</t>
        </is>
      </c>
      <c r="F1" s="24" t="inlineStr">
        <is>
          <t>Смысл</t>
        </is>
      </c>
      <c r="G1" s="16" t="n"/>
      <c r="H1" s="24" t="inlineStr">
        <is>
          <t>Сигнал</t>
        </is>
      </c>
      <c r="I1" s="24" t="inlineStr">
        <is>
          <t>Следующий шаг</t>
        </is>
      </c>
      <c r="J1" s="24" t="inlineStr">
        <is>
          <t>Когда нужен</t>
        </is>
      </c>
    </row>
    <row r="2">
      <c r="A2" s="19" t="inlineStr">
        <is>
          <t>Матрица мандатов</t>
        </is>
      </c>
      <c r="B2" s="19" t="inlineStr">
        <is>
          <t>Закрепляет роли, права решений и границы автономии</t>
        </is>
      </c>
      <c r="C2" s="19" t="inlineStr">
        <is>
          <t>Роли и мандаты</t>
        </is>
      </c>
      <c r="D2" s="17" t="n"/>
      <c r="E2" s="19" t="inlineStr">
        <is>
          <t>Минимальный комплект</t>
        </is>
      </c>
      <c r="F2" s="19" t="inlineStr">
        <is>
          <t>Нужен почти в каждом внедрении CLM.</t>
        </is>
      </c>
      <c r="G2" s="17" t="n"/>
      <c r="H2" s="19" t="inlineStr">
        <is>
          <t>Библиотека готова</t>
        </is>
      </c>
      <c r="I2" s="19" t="inlineStr">
        <is>
          <t>Релиз CLM</t>
        </is>
      </c>
      <c r="J2" s="19" t="inlineStr">
        <is>
          <t>Можно использовать комплект у клиента.</t>
        </is>
      </c>
    </row>
    <row r="3">
      <c r="A3" s="19" t="inlineStr">
        <is>
          <t>RACI / матрица ответственности</t>
        </is>
      </c>
      <c r="B3" s="19" t="inlineStr">
        <is>
          <t>Фиксирует участие ролей в действии или решении</t>
        </is>
      </c>
      <c r="C3" s="19" t="inlineStr">
        <is>
          <t>Роли и мандаты</t>
        </is>
      </c>
      <c r="D3" s="17" t="n"/>
      <c r="E3" s="19" t="inlineStr">
        <is>
          <t>Расширенная библиотека</t>
        </is>
      </c>
      <c r="F3" s="19" t="inlineStr">
        <is>
          <t>Нужен только при конкретном кейсе.</t>
        </is>
      </c>
      <c r="G3" s="17" t="n"/>
      <c r="H3" s="19" t="inlineStr">
        <is>
          <t>Есть дубли или кандидаты</t>
        </is>
      </c>
      <c r="I3" s="19" t="inlineStr">
        <is>
          <t>Оптимизация</t>
        </is>
      </c>
      <c r="J3" s="19" t="inlineStr">
        <is>
          <t>Объединить или убрать лишние артефакты.</t>
        </is>
      </c>
    </row>
    <row r="4">
      <c r="A4" s="19" t="inlineStr">
        <is>
          <t>Decision Book / книга решений</t>
        </is>
      </c>
      <c r="B4" s="19" t="inlineStr">
        <is>
          <t>Хранит решения, цикл решения, обязательства и разбор</t>
        </is>
      </c>
      <c r="C4" s="19" t="inlineStr">
        <is>
          <t>Decision OS / система решений</t>
        </is>
      </c>
      <c r="D4" s="17" t="n"/>
      <c r="E4" s="19" t="inlineStr">
        <is>
          <t>Встроен в CLM</t>
        </is>
      </c>
      <c r="F4" s="19" t="inlineStr">
        <is>
          <t>Живет внутри DOCX/XLSX соответствующего блока.</t>
        </is>
      </c>
      <c r="G4" s="17" t="n"/>
      <c r="H4" s="19" t="inlineStr">
        <is>
          <t>Нет владельцев или доступа</t>
        </is>
      </c>
      <c r="I4" s="19" t="inlineStr">
        <is>
          <t>Доработать</t>
        </is>
      </c>
      <c r="J4" s="19" t="inlineStr">
        <is>
          <t>Назначить владельцев и правила обновления.</t>
        </is>
      </c>
    </row>
    <row r="5">
      <c r="A5" s="19" t="inlineStr">
        <is>
          <t>CLM Dashboard / панель</t>
        </is>
      </c>
      <c r="B5" s="19" t="inlineStr">
        <is>
          <t>Показывает состояние управляемости</t>
        </is>
      </c>
      <c r="C5" s="19" t="inlineStr">
        <is>
          <t>Панель управляемости</t>
        </is>
      </c>
      <c r="D5" s="17" t="n"/>
      <c r="E5" s="19" t="inlineStr">
        <is>
          <t>Кандидат на оптимизацию</t>
        </is>
      </c>
      <c r="F5" s="19" t="inlineStr">
        <is>
          <t>Полезен, но отдельный файл может создать бюрократию.</t>
        </is>
      </c>
      <c r="G5" s="17" t="n"/>
      <c r="H5" s="19" t="inlineStr">
        <is>
          <t>Нужны отдельные файлы</t>
        </is>
      </c>
      <c r="I5" s="19" t="inlineStr">
        <is>
          <t>Сборка шаблонов</t>
        </is>
      </c>
      <c r="J5" s="19" t="inlineStr">
        <is>
          <t>Выпускать только после жесткого теста нужности.</t>
        </is>
      </c>
    </row>
    <row r="6">
      <c r="A6" s="19" t="inlineStr">
        <is>
          <t>Recovery Loop / контур восстановления</t>
        </is>
      </c>
      <c r="B6" s="19" t="inlineStr">
        <is>
          <t>Закрепляет восстановление после сбоя</t>
        </is>
      </c>
      <c r="C6" s="19" t="inlineStr">
        <is>
          <t>Устойчивость</t>
        </is>
      </c>
      <c r="D6" s="17" t="n"/>
      <c r="E6" s="19" t="inlineStr">
        <is>
          <t>Служебный слой</t>
        </is>
      </c>
      <c r="F6" s="19" t="inlineStr">
        <is>
          <t>Нужен для версий, доступа или сопровождения.</t>
        </is>
      </c>
      <c r="G6" s="17" t="n"/>
      <c r="H6" s="17" t="n"/>
      <c r="I6" s="17" t="n"/>
      <c r="J6" s="17" t="n"/>
    </row>
    <row r="7">
      <c r="A7" s="19" t="inlineStr">
        <is>
          <t>AI / ИИ-допуск</t>
        </is>
      </c>
      <c r="B7" s="19" t="inlineStr">
        <is>
          <t>Фиксирует правила запуска AI / ИИ-сценариев</t>
        </is>
      </c>
      <c r="C7" s="19" t="inlineStr">
        <is>
          <t>AI / ИИ-контур</t>
        </is>
      </c>
      <c r="D7" s="17" t="n"/>
      <c r="E7" s="17" t="n"/>
      <c r="F7" s="17" t="n"/>
      <c r="G7" s="17" t="n"/>
      <c r="H7" s="17" t="n"/>
      <c r="I7" s="17" t="n"/>
      <c r="J7" s="17" t="n"/>
    </row>
    <row r="8">
      <c r="A8" s="19" t="inlineStr">
        <is>
          <t>Data Pack / пакет данных</t>
        </is>
      </c>
      <c r="B8" s="19" t="inlineStr">
        <is>
          <t>Собирает данные для управленческого решения</t>
        </is>
      </c>
      <c r="C8" s="19" t="inlineStr">
        <is>
          <t>Данные</t>
        </is>
      </c>
      <c r="D8" s="17" t="n"/>
      <c r="E8" s="17" t="n"/>
      <c r="F8" s="17" t="n"/>
      <c r="G8" s="17" t="n"/>
      <c r="H8" s="17" t="n"/>
      <c r="I8" s="17" t="n"/>
      <c r="J8" s="17" t="n"/>
    </row>
    <row r="9">
      <c r="A9" s="19" t="inlineStr">
        <is>
          <t>Roadmap / дорожная карта CLM</t>
        </is>
      </c>
      <c r="B9" s="19" t="inlineStr">
        <is>
          <t>Закрепляет программу изменений</t>
        </is>
      </c>
      <c r="C9" s="19" t="inlineStr">
        <is>
          <t>Roadmap / дорожная карта</t>
        </is>
      </c>
      <c r="D9" s="17" t="n"/>
      <c r="E9" s="17" t="n"/>
      <c r="F9" s="17" t="n"/>
      <c r="G9" s="17" t="n"/>
      <c r="H9" s="17" t="n"/>
      <c r="I9" s="17" t="n"/>
      <c r="J9" s="17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CLM_BLOCK_12_ARTIFACT_LIBRARY_MODULE_RELEASE_V1_LIGHT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2026-07-08T10:27:39Z</dcterms:created>
  <dcterms:modified xmlns:dcterms="http://purl.org/dc/terms/" xmlns:xsi="http://www.w3.org/2001/XMLSchema-instance" xsi:type="dcterms:W3CDTF">2026-07-21T08:33:50Z</dcterms:modified>
</cp:coreProperties>
</file>