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Панель" sheetId="1" state="visible" r:id="rId1"/>
    <sheet xmlns:r="http://schemas.openxmlformats.org/officeDocument/2006/relationships" name="01_Ввод" sheetId="2" state="visible" r:id="rId2"/>
    <sheet xmlns:r="http://schemas.openxmlformats.org/officeDocument/2006/relationships" name="02_Воронка" sheetId="3" state="visible" r:id="rId3"/>
    <sheet xmlns:r="http://schemas.openxmlformats.org/officeDocument/2006/relationships" name="03_Roadmap" sheetId="4" state="visible" r:id="rId4"/>
    <sheet xmlns:r="http://schemas.openxmlformats.org/officeDocument/2006/relationships" name="04_Расчет" sheetId="5" state="visible" r:id="rId5"/>
    <sheet xmlns:r="http://schemas.openxmlformats.org/officeDocument/2006/relationships" name="05_Отчет" sheetId="6" state="visible" r:id="rId6"/>
    <sheet xmlns:r="http://schemas.openxmlformats.org/officeDocument/2006/relationships" name="90_Справочник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rlito"/>
      <sz val="11"/>
    </font>
    <font>
      <name val="Carlito"/>
      <b val="1"/>
      <color rgb="FFFFFFFF"/>
      <sz val="11"/>
    </font>
    <font>
      <name val="Carlito"/>
      <color rgb="FF111827"/>
      <sz val="10"/>
    </font>
    <font>
      <name val="Carlito"/>
      <b val="1"/>
      <color rgb="FF0B1F33"/>
      <sz val="16"/>
    </font>
    <font>
      <name val="Carlito"/>
      <b val="1"/>
      <color rgb="FF0F766E"/>
      <sz val="11"/>
    </font>
    <font>
      <name val="Carlito"/>
      <b val="1"/>
      <color rgb="FF0B1F33"/>
      <sz val="11"/>
    </font>
    <font>
      <name val="Arial"/>
      <b val="1"/>
      <color rgb="000B1F33"/>
      <sz val="16"/>
    </font>
    <font>
      <name val="Arial"/>
      <b val="1"/>
      <color rgb="00FFFFFF"/>
      <sz val="10"/>
    </font>
    <font>
      <name val="Arial"/>
      <color rgb="00111827"/>
      <sz val="10"/>
    </font>
    <font>
      <name val="Arial"/>
      <b val="1"/>
      <color rgb="000B1F33"/>
      <sz val="11"/>
    </font>
  </fonts>
  <fills count="6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0F766E"/>
      </patternFill>
    </fill>
    <fill>
      <patternFill patternType="solid">
        <fgColor rgb="00F3EBDD"/>
      </patternFill>
    </fill>
    <fill>
      <patternFill patternType="solid">
        <fgColor rgb="00FFF7ED"/>
      </patternFill>
    </fill>
  </fills>
  <borders count="9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FDBA74"/>
      </left>
      <right style="thin">
        <color rgb="FFFDBA74"/>
      </right>
      <top style="thin">
        <color rgb="FFFDBA74"/>
      </top>
      <bottom style="thin">
        <color rgb="FFFDBA74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</border>
    <border>
      <right style="thin">
        <color rgb="00CBD5E1"/>
      </right>
      <top style="thin">
        <color rgb="00CBD5E1"/>
      </top>
    </border>
    <border>
      <top style="thin">
        <color rgb="00CBD5E1"/>
      </top>
      <bottom style="thin">
        <color rgb="00CBD5E1"/>
      </bottom>
    </border>
    <border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FDBA74"/>
      </left>
      <right style="thin">
        <color rgb="00FDBA74"/>
      </right>
      <top style="thin">
        <color rgb="00FDBA74"/>
      </top>
      <bottom style="thin">
        <color rgb="00FDBA74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3" fillId="0" borderId="0" pivotButton="0" quotePrefix="0" xfId="0"/>
    <xf numFmtId="0" fontId="2" fillId="0" borderId="1" applyAlignment="1" pivotButton="0" quotePrefix="0" xfId="0">
      <alignment wrapText="1"/>
    </xf>
    <xf numFmtId="0" fontId="2" fillId="0" borderId="2" applyAlignment="1" pivotButton="0" quotePrefix="0" xfId="0">
      <alignment wrapText="1"/>
    </xf>
    <xf numFmtId="164" fontId="2" fillId="0" borderId="2" applyAlignment="1" pivotButton="0" quotePrefix="0" xfId="0">
      <alignment wrapText="1"/>
    </xf>
    <xf numFmtId="0" fontId="4" fillId="0" borderId="0" pivotButton="0" quotePrefix="0" xfId="0"/>
    <xf numFmtId="9" fontId="2" fillId="0" borderId="1" applyAlignment="1" pivotButton="0" quotePrefix="0" xfId="0">
      <alignment wrapText="1"/>
    </xf>
    <xf numFmtId="1" fontId="2" fillId="0" borderId="1" applyAlignment="1" pivotButton="0" quotePrefix="0" xfId="0">
      <alignment wrapText="1"/>
    </xf>
    <xf numFmtId="0" fontId="5" fillId="0" borderId="0" pivotButton="0" quotePrefix="0" xfId="0"/>
    <xf numFmtId="0" fontId="6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7" fillId="2" borderId="3" applyAlignment="1" pivotButton="0" quotePrefix="0" xfId="0">
      <alignment vertical="center" wrapText="1"/>
    </xf>
    <xf numFmtId="0" fontId="8" fillId="0" borderId="3" applyAlignment="1" pivotButton="0" quotePrefix="0" xfId="0">
      <alignment vertical="center" wrapText="1"/>
    </xf>
    <xf numFmtId="9" fontId="8" fillId="0" borderId="3" applyAlignment="1" pivotButton="0" quotePrefix="0" xfId="0">
      <alignment vertical="center" wrapText="1"/>
    </xf>
    <xf numFmtId="1" fontId="8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 wrapText="1"/>
    </xf>
    <xf numFmtId="0" fontId="7" fillId="3" borderId="3" applyAlignment="1" pivotButton="0" quotePrefix="0" xfId="0">
      <alignment vertical="center" wrapText="1"/>
    </xf>
    <xf numFmtId="0" fontId="8" fillId="5" borderId="3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0" fillId="0" borderId="7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8" fillId="5" borderId="8" applyAlignment="1" pivotButton="0" quotePrefix="0" xfId="0">
      <alignment vertical="center" wrapText="1"/>
    </xf>
    <xf numFmtId="164" fontId="8" fillId="5" borderId="8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CLM</author>
  </authors>
  <commentList>
    <comment ref="B5" authorId="0" shapeId="0">
      <text>
        <t>Доля заполненной воронки. До заполнения нельзя делать вывод о готовности roadmap / дорожной карты.</t>
      </text>
    </comment>
    <comment ref="B6" authorId="0" shapeId="0">
      <text>
        <t>Доля заполненных действий дорожной карты.</t>
      </text>
    </comment>
    <comment ref="B7" authorId="0" shapeId="0">
      <text>
        <t>Количество приоритетов, которые нужно делать первыми.</t>
      </text>
    </comment>
    <comment ref="B8" authorId="0" shapeId="0">
      <text>
        <t>Количество артефактов, которые должны уйти в Блок 12.</t>
      </text>
    </comment>
    <comment ref="B9" authorId="0" shapeId="0">
      <text>
        <t>Roadmap Readiness Score: готовность программы перенастройки к запуску и закреплению.</t>
      </text>
    </comment>
    <comment ref="B10" authorId="0" shapeId="0">
      <text>
        <t>Итоговый статус Блока 11.</t>
      </text>
    </comment>
  </commentList>
</comments>
</file>

<file path=xl/comments/comment2.xml><?xml version="1.0" encoding="utf-8"?>
<comments xmlns="http://schemas.openxmlformats.org/spreadsheetml/2006/main">
  <authors>
    <author>CLM</author>
  </authors>
  <commentList>
    <comment ref="B4" authorId="0" shapeId="0">
      <text>
        <t>Название клиента или проекта.</t>
      </text>
    </comment>
    <comment ref="B5" authorId="0" shapeId="0">
      <text>
        <t>Дата запуска roadmap / дорожной карты.</t>
      </text>
    </comment>
    <comment ref="B6" authorId="0" shapeId="0">
      <text>
        <t>Главный сигнал из панели Блока 10.</t>
      </text>
    </comment>
    <comment ref="B7" authorId="0" shapeId="0">
      <text>
        <t>Список критичных приоритетов панели.</t>
      </text>
    </comment>
    <comment ref="B8" authorId="0" shapeId="0">
      <text>
        <t>Что реально ломает управляемость.</t>
      </text>
    </comment>
    <comment ref="B9" authorId="0" shapeId="0">
      <text>
        <t>Ограничение ресурса, бюджета, людей или времени.</t>
      </text>
    </comment>
    <comment ref="B10" authorId="0" shapeId="0">
      <text>
        <t>Кто отвечает за дорожную карту.</t>
      </text>
    </comment>
    <comment ref="B11" authorId="0" shapeId="0">
      <text>
        <t>Как часто идет review / разбор дорожной карты.</t>
      </text>
    </comment>
    <comment ref="B12" authorId="0" shapeId="0">
      <text>
        <t>Что запрещено включать: пожелания без источника, дубли, действия без владельца.</t>
      </text>
    </comment>
  </commentList>
</comments>
</file>

<file path=xl/comments/comment3.xml><?xml version="1.0" encoding="utf-8"?>
<comments xmlns="http://schemas.openxmlformats.org/spreadsheetml/2006/main">
  <authors>
    <author>CLM</author>
  </authors>
  <commentList>
    <comment ref="A3" authorId="0" shapeId="0">
      <text>
        <t>Блок, сигнал или вывод, из которого возникло действие.</t>
      </text>
    </comment>
    <comment ref="B3" authorId="0" shapeId="0">
      <text>
        <t>Коротко: что показала диагностика или панель.</t>
      </text>
    </comment>
    <comment ref="C3" authorId="0" shapeId="0">
      <text>
        <t>Причина, а не симптом. Что ломает управляемость.</t>
      </text>
    </comment>
    <comment ref="D3" authorId="0" shapeId="0">
      <text>
        <t>Контур перенастройки: роль, решение, данные, синхронизация, устойчивость, лидерство, AI / ИИ.</t>
      </text>
    </comment>
    <comment ref="E3" authorId="0" shapeId="0">
      <text>
        <t>Да — смысл уже есть в другой строке или не нужен как отдельное действие.</t>
      </text>
    </comment>
    <comment ref="F3" authorId="0" shapeId="0">
      <text>
        <t>0 — слабый эффект; 3 — сильное влияние на управляемость.</t>
      </text>
    </comment>
    <comment ref="G3" authorId="0" shapeId="0">
      <text>
        <t>0 — можно ждать; 3 — промедление опасно.</t>
      </text>
    </comment>
    <comment ref="H3" authorId="0" shapeId="0">
      <text>
        <t>0 — не срочно; 3 — нужно делать сейчас.</t>
      </text>
    </comment>
    <comment ref="I3" authorId="0" shapeId="0">
      <text>
        <t>0 — ресурса нет; 3 — ресурс готов.</t>
      </text>
    </comment>
    <comment ref="J3" authorId="0" shapeId="0">
      <text>
        <t>Владелец будущего действия.</t>
      </text>
    </comment>
    <comment ref="K3" authorId="0" shapeId="0">
      <text>
        <t>Автоматический балл приоритета. Не заполнять вручную.</t>
      </text>
    </comment>
    <comment ref="L3" authorId="0" shapeId="0">
      <text>
        <t>Автоматическое решение: делать первым, планово, доработать или не включать.</t>
      </text>
    </comment>
    <comment ref="C4" authorId="0" shapeId="0">
      <text>
        <t>Без причины действие превращается в пожелание.</t>
      </text>
    </comment>
    <comment ref="J4" authorId="0" shapeId="0">
      <text>
        <t>Без владельца строка не готова к roadmap / дорожной карте.</t>
      </text>
    </comment>
    <comment ref="C5" authorId="0" shapeId="0">
      <text>
        <t>Без причины действие превращается в пожелание.</t>
      </text>
    </comment>
    <comment ref="J5" authorId="0" shapeId="0">
      <text>
        <t>Без владельца строка не готова к roadmap / дорожной карте.</t>
      </text>
    </comment>
    <comment ref="C6" authorId="0" shapeId="0">
      <text>
        <t>Без причины действие превращается в пожелание.</t>
      </text>
    </comment>
    <comment ref="J6" authorId="0" shapeId="0">
      <text>
        <t>Без владельца строка не готова к roadmap / дорожной карте.</t>
      </text>
    </comment>
    <comment ref="C7" authorId="0" shapeId="0">
      <text>
        <t>Без причины действие превращается в пожелание.</t>
      </text>
    </comment>
    <comment ref="J7" authorId="0" shapeId="0">
      <text>
        <t>Без владельца строка не готова к roadmap / дорожной карте.</t>
      </text>
    </comment>
    <comment ref="C8" authorId="0" shapeId="0">
      <text>
        <t>Без причины действие превращается в пожелание.</t>
      </text>
    </comment>
    <comment ref="J8" authorId="0" shapeId="0">
      <text>
        <t>Без владельца строка не готова к roadmap / дорожной карте.</t>
      </text>
    </comment>
    <comment ref="C9" authorId="0" shapeId="0">
      <text>
        <t>Без причины действие превращается в пожелание.</t>
      </text>
    </comment>
    <comment ref="J9" authorId="0" shapeId="0">
      <text>
        <t>Без владельца строка не готова к roadmap / дорожной карте.</t>
      </text>
    </comment>
    <comment ref="C10" authorId="0" shapeId="0">
      <text>
        <t>Без причины действие превращается в пожелание.</t>
      </text>
    </comment>
    <comment ref="J10" authorId="0" shapeId="0">
      <text>
        <t>Без владельца строка не готова к roadmap / дорожной карте.</t>
      </text>
    </comment>
    <comment ref="C11" authorId="0" shapeId="0">
      <text>
        <t>Без причины действие превращается в пожелание.</t>
      </text>
    </comment>
    <comment ref="J11" authorId="0" shapeId="0">
      <text>
        <t>Без владельца строка не готова к roadmap / дорожной карте.</t>
      </text>
    </comment>
    <comment ref="C12" authorId="0" shapeId="0">
      <text>
        <t>Без причины действие превращается в пожелание.</t>
      </text>
    </comment>
    <comment ref="J12" authorId="0" shapeId="0">
      <text>
        <t>Без владельца строка не готова к roadmap / дорожной карте.</t>
      </text>
    </comment>
    <comment ref="C13" authorId="0" shapeId="0">
      <text>
        <t>Без причины действие превращается в пожелание.</t>
      </text>
    </comment>
    <comment ref="J13" authorId="0" shapeId="0">
      <text>
        <t>Без владельца строка не готова к roadmap / дорожной карте.</t>
      </text>
    </comment>
    <comment ref="C14" authorId="0" shapeId="0">
      <text>
        <t>Без причины действие превращается в пожелание.</t>
      </text>
    </comment>
    <comment ref="J14" authorId="0" shapeId="0">
      <text>
        <t>Без владельца строка не готова к roadmap / дорожной карте.</t>
      </text>
    </comment>
    <comment ref="C15" authorId="0" shapeId="0">
      <text>
        <t>Без причины действие превращается в пожелание.</t>
      </text>
    </comment>
    <comment ref="J15" authorId="0" shapeId="0">
      <text>
        <t>Без владельца строка не готова к roadmap / дорожной карте.</t>
      </text>
    </comment>
  </commentList>
</comments>
</file>

<file path=xl/comments/comment4.xml><?xml version="1.0" encoding="utf-8"?>
<comments xmlns="http://schemas.openxmlformats.org/spreadsheetml/2006/main">
  <authors>
    <author>CLM</author>
  </authors>
  <commentList>
    <comment ref="A3" authorId="0" shapeId="0">
      <text>
        <t>Горизонт: 30 / 60 / 90 или 180 / 360 для системных изменений.</t>
      </text>
    </comment>
    <comment ref="B3" authorId="0" shapeId="0">
      <text>
        <t>Конкретное действие, а не общее намерение.</t>
      </text>
    </comment>
    <comment ref="C3" authorId="0" shapeId="0">
      <text>
        <t>Блок, из которого пришел сигнал.</t>
      </text>
    </comment>
    <comment ref="D3" authorId="0" shapeId="0">
      <text>
        <t>Причина действия.</t>
      </text>
    </comment>
    <comment ref="E3" authorId="0" shapeId="0">
      <text>
        <t>Контур перенастройки.</t>
      </text>
    </comment>
    <comment ref="F3" authorId="0" shapeId="0">
      <text>
        <t>Кто отвечает за результат.</t>
      </text>
    </comment>
    <comment ref="G3" authorId="0" shapeId="0">
      <text>
        <t>Как понять, что действие сработало.</t>
      </text>
    </comment>
    <comment ref="H3" authorId="0" shapeId="0">
      <text>
        <t>Что передается в Блок 12 для закрепления.</t>
      </text>
    </comment>
    <comment ref="I3" authorId="0" shapeId="0">
      <text>
        <t>Дата старта.</t>
      </text>
    </comment>
    <comment ref="J3" authorId="0" shapeId="0">
      <text>
        <t>Дата срока.</t>
      </text>
    </comment>
    <comment ref="K3" authorId="0" shapeId="0">
      <text>
        <t>Прогресс 0-100.</t>
      </text>
    </comment>
    <comment ref="L3" authorId="0" shapeId="0">
      <text>
        <t>Автоматический статус строки.</t>
      </text>
    </comment>
    <comment ref="G4" authorId="0" shapeId="0">
      <text>
        <t>Метрика результата должна быть проверяемой.</t>
      </text>
    </comment>
    <comment ref="H4" authorId="0" shapeId="0">
      <text>
        <t>Артефакт может быть карточкой роли, шаблоном решения, регламентом, журналом или паспортом AI / ИИ-сценария.</t>
      </text>
    </comment>
    <comment ref="G5" authorId="0" shapeId="0">
      <text>
        <t>Метрика результата должна быть проверяемой.</t>
      </text>
    </comment>
    <comment ref="H5" authorId="0" shapeId="0">
      <text>
        <t>Артефакт может быть карточкой роли, шаблоном решения, регламентом, журналом или паспортом AI / ИИ-сценария.</t>
      </text>
    </comment>
    <comment ref="G6" authorId="0" shapeId="0">
      <text>
        <t>Метрика результата должна быть проверяемой.</t>
      </text>
    </comment>
    <comment ref="H6" authorId="0" shapeId="0">
      <text>
        <t>Артефакт может быть карточкой роли, шаблоном решения, регламентом, журналом или паспортом AI / ИИ-сценария.</t>
      </text>
    </comment>
    <comment ref="G7" authorId="0" shapeId="0">
      <text>
        <t>Метрика результата должна быть проверяемой.</t>
      </text>
    </comment>
    <comment ref="H7" authorId="0" shapeId="0">
      <text>
        <t>Артефакт может быть карточкой роли, шаблоном решения, регламентом, журналом или паспортом AI / ИИ-сценария.</t>
      </text>
    </comment>
    <comment ref="G8" authorId="0" shapeId="0">
      <text>
        <t>Метрика результата должна быть проверяемой.</t>
      </text>
    </comment>
    <comment ref="H8" authorId="0" shapeId="0">
      <text>
        <t>Артефакт может быть карточкой роли, шаблоном решения, регламентом, журналом или паспортом AI / ИИ-сценария.</t>
      </text>
    </comment>
    <comment ref="G9" authorId="0" shapeId="0">
      <text>
        <t>Метрика результата должна быть проверяемой.</t>
      </text>
    </comment>
    <comment ref="H9" authorId="0" shapeId="0">
      <text>
        <t>Артефакт может быть карточкой роли, шаблоном решения, регламентом, журналом или паспортом AI / ИИ-сценария.</t>
      </text>
    </comment>
    <comment ref="G10" authorId="0" shapeId="0">
      <text>
        <t>Метрика результата должна быть проверяемой.</t>
      </text>
    </comment>
    <comment ref="H10" authorId="0" shapeId="0">
      <text>
        <t>Артефакт может быть карточкой роли, шаблоном решения, регламентом, журналом или паспортом AI / ИИ-сценария.</t>
      </text>
    </comment>
    <comment ref="G11" authorId="0" shapeId="0">
      <text>
        <t>Метрика результата должна быть проверяемой.</t>
      </text>
    </comment>
    <comment ref="H11" authorId="0" shapeId="0">
      <text>
        <t>Артефакт может быть карточкой роли, шаблоном решения, регламентом, журналом или паспортом AI / ИИ-сценария.</t>
      </text>
    </comment>
    <comment ref="G12" authorId="0" shapeId="0">
      <text>
        <t>Метрика результата должна быть проверяемой.</t>
      </text>
    </comment>
    <comment ref="H12" authorId="0" shapeId="0">
      <text>
        <t>Артефакт может быть карточкой роли, шаблоном решения, регламентом, журналом или паспортом AI / ИИ-сценария.</t>
      </text>
    </comment>
    <comment ref="G13" authorId="0" shapeId="0">
      <text>
        <t>Метрика результата должна быть проверяемой.</t>
      </text>
    </comment>
    <comment ref="H13" authorId="0" shapeId="0">
      <text>
        <t>Артефакт может быть карточкой роли, шаблоном решения, регламентом, журналом или паспортом AI / ИИ-сценария.</t>
      </text>
    </comment>
    <comment ref="G14" authorId="0" shapeId="0">
      <text>
        <t>Метрика результата должна быть проверяемой.</t>
      </text>
    </comment>
    <comment ref="H14" authorId="0" shapeId="0">
      <text>
        <t>Артефакт может быть карточкой роли, шаблоном решения, регламентом, журналом или паспортом AI / ИИ-сценария.</t>
      </text>
    </comment>
    <comment ref="G15" authorId="0" shapeId="0">
      <text>
        <t>Метрика результата должна быть проверяемой.</t>
      </text>
    </comment>
    <comment ref="H15" authorId="0" shapeId="0">
      <text>
        <t>Артефакт может быть карточкой роли, шаблоном решения, регламентом, журналом или паспортом AI / ИИ-сценария.</t>
      </text>
    </comment>
  </commentList>
</comments>
</file>

<file path=xl/comments/comment5.xml><?xml version="1.0" encoding="utf-8"?>
<comments xmlns="http://schemas.openxmlformats.org/spreadsheetml/2006/main">
  <authors>
    <author>CLM</author>
  </authors>
  <commentList>
    <comment ref="B4" authorId="0" shapeId="0">
      <text>
        <t>Расчетная ячейка. Не заполнять вручную.</t>
      </text>
    </comment>
    <comment ref="B5" authorId="0" shapeId="0">
      <text>
        <t>Расчетная ячейка. Не заполнять вручную.</t>
      </text>
    </comment>
    <comment ref="B6" authorId="0" shapeId="0">
      <text>
        <t>Расчетная ячейка. Не заполнять вручную.</t>
      </text>
    </comment>
    <comment ref="B7" authorId="0" shapeId="0">
      <text>
        <t>Расчетная ячейка. Не заполнять вручную.</t>
      </text>
    </comment>
    <comment ref="B8" authorId="0" shapeId="0">
      <text>
        <t>Расчетная ячейка. Не заполнять вручную.</t>
      </text>
    </comment>
    <comment ref="B9" authorId="0" shapeId="0">
      <text>
        <t>Расчетная ячейка. Не заполнять вручную.</t>
      </text>
    </comment>
    <comment ref="B10" authorId="0" shapeId="0">
      <text>
        <t>Расчетная ячейка. Не заполнять вручную.</t>
      </text>
    </comment>
    <comment ref="B11" authorId="0" shapeId="0">
      <text>
        <t>Расчетная ячейка. Не заполнять вручную.</t>
      </text>
    </comment>
    <comment ref="B12" authorId="0" shapeId="0">
      <text>
        <t>Расчетная ячейка. Не заполнять вручную.</t>
      </text>
    </comment>
    <comment ref="B13" authorId="0" shapeId="0">
      <text>
        <t>Расчетная ячейка. Не заполнять вручную.</t>
      </text>
    </comment>
    <comment ref="B14" authorId="0" shapeId="0">
      <text>
        <t>Расчетная ячейка. Не заполнять вручную.</t>
      </text>
    </comment>
    <comment ref="B15" authorId="0" shapeId="0">
      <text>
        <t>Расчетная ячейка. Не заполнять вручную.</t>
      </text>
    </comment>
    <comment ref="B16" authorId="0" shapeId="0">
      <text>
        <t>Расчетная ячейка. Не заполнять вручную.</t>
      </text>
    </comment>
  </commentList>
</comments>
</file>

<file path=xl/comments/comment6.xml><?xml version="1.0" encoding="utf-8"?>
<comments xmlns="http://schemas.openxmlformats.org/spreadsheetml/2006/main">
  <authors>
    <author>CLM</author>
  </authors>
  <commentList>
    <comment ref="B8" authorId="0" shapeId="0">
      <text>
        <t>Обычно после Блока 11 следующий шаг — Блок 12.</t>
      </text>
    </comment>
    <comment ref="B10" authorId="0" shapeId="0">
      <text>
        <t>Первое действие 30 дней должно закрывать самый опасный разрыв управляемости.</t>
      </text>
    </comment>
  </commentList>
</comments>
</file>

<file path=xl/comments/comment7.xml><?xml version="1.0" encoding="utf-8"?>
<comments xmlns="http://schemas.openxmlformats.org/spreadsheetml/2006/main">
  <authors>
    <author>CLM</author>
  </authors>
  <commentList>
    <comment ref="A1" authorId="0" shapeId="0">
      <text>
        <t>Контуры перенастройки CLM.</t>
      </text>
    </comment>
    <comment ref="D1" authorId="0" shapeId="0">
      <text>
        <t>Горизонты roadmap / дорожной карты.</t>
      </text>
    </comment>
    <comment ref="G1" authorId="0" shapeId="0">
      <text>
        <t>Следующий шаг после Блока 11.</t>
      </text>
    </comment>
  </commentList>
</comment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38" customWidth="1" style="1" min="1" max="1"/>
    <col width="24" customWidth="1" style="1" min="2" max="2"/>
    <col width="34" customWidth="1" style="1" min="3" max="3"/>
    <col width="36" customWidth="1" style="1" min="4" max="4"/>
    <col width="10" customWidth="1" style="1" min="5" max="5"/>
    <col width="10" customWidth="1" style="1" min="6" max="6"/>
    <col width="10" customWidth="1" style="1" min="7" max="7"/>
    <col width="10" customWidth="1" style="1" min="8" max="8"/>
  </cols>
  <sheetData>
    <row r="1">
      <c r="A1" s="16" t="inlineStr">
        <is>
          <t>CLM Блок 11. Панель дорожной карты</t>
        </is>
      </c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</row>
    <row r="3">
      <c r="A3" s="18" t="inlineStr">
        <is>
          <t>Показатель</t>
        </is>
      </c>
      <c r="B3" s="18" t="inlineStr">
        <is>
          <t>Значение</t>
        </is>
      </c>
      <c r="C3" s="18" t="inlineStr">
        <is>
          <t>Норма</t>
        </is>
      </c>
      <c r="D3" s="18" t="inlineStr">
        <is>
          <t>Комментарий</t>
        </is>
      </c>
      <c r="E3" s="17" t="n"/>
      <c r="F3" s="17" t="n"/>
      <c r="G3" s="17" t="n"/>
      <c r="H3" s="17" t="n"/>
    </row>
    <row r="4">
      <c r="A4" s="19" t="inlineStr">
        <is>
          <t>Клиент</t>
        </is>
      </c>
      <c r="B4" s="19">
        <f>IF('01_Ввод'!B4="","",'01_Ввод'!B4)</f>
        <v/>
      </c>
      <c r="C4" s="19" t="str"/>
      <c r="D4" s="19" t="str"/>
      <c r="E4" s="17" t="n"/>
      <c r="F4" s="17" t="n"/>
      <c r="G4" s="17" t="n"/>
      <c r="H4" s="17" t="n"/>
    </row>
    <row r="5">
      <c r="A5" s="19" t="inlineStr">
        <is>
          <t>Заполненность воронки</t>
        </is>
      </c>
      <c r="B5" s="20">
        <f>'04_Расчет'!B4</f>
        <v/>
      </c>
      <c r="C5" s="19" t="inlineStr">
        <is>
          <t>80%+</t>
        </is>
      </c>
      <c r="D5" s="19" t="str"/>
      <c r="E5" s="17" t="n"/>
      <c r="F5" s="17" t="n"/>
      <c r="G5" s="17" t="n"/>
      <c r="H5" s="17" t="n"/>
    </row>
    <row r="6">
      <c r="A6" s="19" t="inlineStr">
        <is>
          <t>Заполненность roadmap / дорожной карты</t>
        </is>
      </c>
      <c r="B6" s="20">
        <f>'04_Расчет'!B8</f>
        <v/>
      </c>
      <c r="C6" s="19" t="inlineStr">
        <is>
          <t>80%+</t>
        </is>
      </c>
      <c r="D6" s="19" t="str"/>
      <c r="E6" s="17" t="n"/>
      <c r="F6" s="17" t="n"/>
      <c r="G6" s="17" t="n"/>
      <c r="H6" s="17" t="n"/>
    </row>
    <row r="7">
      <c r="A7" s="19" t="inlineStr">
        <is>
          <t>Приоритетов делать первым</t>
        </is>
      </c>
      <c r="B7" s="19">
        <f>IF('04_Расчет'!B13="","Нет данных",'04_Расчет'!B5)</f>
        <v/>
      </c>
      <c r="C7" s="19" t="inlineStr">
        <is>
          <t>1-5</t>
        </is>
      </c>
      <c r="D7" s="19" t="str"/>
      <c r="E7" s="17" t="n"/>
      <c r="F7" s="17" t="n"/>
      <c r="G7" s="17" t="n"/>
      <c r="H7" s="17" t="n"/>
    </row>
    <row r="8">
      <c r="A8" s="19" t="inlineStr">
        <is>
          <t>Артефактов для Блока 12</t>
        </is>
      </c>
      <c r="B8" s="19">
        <f>IF('04_Расчет'!B13="","Нет данных",'04_Расчет'!B12)</f>
        <v/>
      </c>
      <c r="C8" s="19" t="inlineStr">
        <is>
          <t>1+</t>
        </is>
      </c>
      <c r="D8" s="19" t="str"/>
      <c r="E8" s="17" t="n"/>
      <c r="F8" s="17" t="n"/>
      <c r="G8" s="17" t="n"/>
      <c r="H8" s="17" t="n"/>
    </row>
    <row r="9">
      <c r="A9" s="19" t="inlineStr">
        <is>
          <t>Roadmap Readiness Score</t>
        </is>
      </c>
      <c r="B9" s="21">
        <f>'04_Расчет'!B13</f>
        <v/>
      </c>
      <c r="C9" s="19" t="inlineStr">
        <is>
          <t>75+</t>
        </is>
      </c>
      <c r="D9" s="19" t="str"/>
      <c r="E9" s="17" t="n"/>
      <c r="F9" s="17" t="n"/>
      <c r="G9" s="17" t="n"/>
      <c r="H9" s="17" t="n"/>
    </row>
    <row r="10">
      <c r="A10" s="19" t="inlineStr">
        <is>
          <t>Статус</t>
        </is>
      </c>
      <c r="B10" s="19">
        <f>'04_Расчет'!B14</f>
        <v/>
      </c>
      <c r="C10" s="19" t="inlineStr">
        <is>
          <t>GO / HOLD / NO-GO</t>
        </is>
      </c>
      <c r="D10" s="19" t="str"/>
      <c r="E10" s="17" t="n"/>
      <c r="F10" s="17" t="n"/>
      <c r="G10" s="17" t="n"/>
      <c r="H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</row>
    <row r="12">
      <c r="A12" s="22" t="inlineStr">
        <is>
          <t>Короткий маршрут</t>
        </is>
      </c>
      <c r="E12" s="17" t="n"/>
      <c r="F12" s="23" t="inlineStr">
        <is>
          <t>Что проверяет Блок 11</t>
        </is>
      </c>
    </row>
    <row r="13">
      <c r="A13" s="24" t="inlineStr">
        <is>
          <t>Шаг</t>
        </is>
      </c>
      <c r="B13" s="24" t="inlineStr">
        <is>
          <t>Что сделать</t>
        </is>
      </c>
      <c r="C13" s="24" t="inlineStr">
        <is>
          <t>Что отсечь</t>
        </is>
      </c>
      <c r="D13" s="24" t="inlineStr">
        <is>
          <t>Выход</t>
        </is>
      </c>
      <c r="E13" s="17" t="n"/>
      <c r="F13" s="25" t="inlineStr">
        <is>
          <t>Блок 11 переводит диагностику в ограниченную программу действий, а не собирает все инициативы компании.</t>
        </is>
      </c>
      <c r="G13" s="31" t="n"/>
      <c r="H13" s="32" t="n"/>
    </row>
    <row r="14">
      <c r="A14" s="19" t="inlineStr">
        <is>
          <t>1</t>
        </is>
      </c>
      <c r="B14" s="19" t="inlineStr">
        <is>
          <t>Собрать сигналы из Блока 10</t>
        </is>
      </c>
      <c r="C14" s="19" t="inlineStr">
        <is>
          <t>Пожелания без источника</t>
        </is>
      </c>
      <c r="D14" s="19" t="inlineStr">
        <is>
          <t>Список входов</t>
        </is>
      </c>
      <c r="E14" s="17" t="n"/>
      <c r="F14" s="25" t="inlineStr">
        <is>
          <t>Нет источника CLM — нет действия. Нет владельца, метрики или артефакта — строка не готова.</t>
        </is>
      </c>
      <c r="G14" s="31" t="n"/>
      <c r="H14" s="32" t="n"/>
    </row>
    <row r="15">
      <c r="A15" s="19" t="inlineStr">
        <is>
          <t>2</t>
        </is>
      </c>
      <c r="B15" s="19" t="inlineStr">
        <is>
          <t>Убрать дубли и слабые формулировки</t>
        </is>
      </c>
      <c r="C15" s="19" t="inlineStr">
        <is>
          <t>Повторы и общие слова</t>
        </is>
      </c>
      <c r="D15" s="19" t="inlineStr">
        <is>
          <t>Чистая воронка</t>
        </is>
      </c>
      <c r="E15" s="17" t="n"/>
      <c r="F15" s="25" t="inlineStr">
        <is>
          <t>Выход Блока 11 — приоритеты 30 / 60 / 90 и список артефактов для Блока 12.</t>
        </is>
      </c>
      <c r="G15" s="31" t="n"/>
      <c r="H15" s="32" t="n"/>
    </row>
    <row r="16">
      <c r="A16" s="19" t="inlineStr">
        <is>
          <t>3</t>
        </is>
      </c>
      <c r="B16" s="19" t="inlineStr">
        <is>
          <t>Назначить контур, владельца и горизонт</t>
        </is>
      </c>
      <c r="C16" s="19" t="inlineStr">
        <is>
          <t>Ничейные действия</t>
        </is>
      </c>
      <c r="D16" s="19" t="inlineStr">
        <is>
          <t>Roadmap / дорожная карта</t>
        </is>
      </c>
      <c r="E16" s="17" t="n"/>
      <c r="F16" s="17" t="n"/>
      <c r="G16" s="17" t="n"/>
      <c r="H16" s="17" t="n"/>
    </row>
    <row r="17">
      <c r="A17" s="19" t="inlineStr">
        <is>
          <t>4</t>
        </is>
      </c>
      <c r="B17" s="19" t="inlineStr">
        <is>
          <t>Задать метрику и артефакт</t>
        </is>
      </c>
      <c r="C17" s="19" t="inlineStr">
        <is>
          <t>Непроверяемые обещания</t>
        </is>
      </c>
      <c r="D17" s="19" t="inlineStr">
        <is>
          <t>Передача в Блок 12</t>
        </is>
      </c>
      <c r="E17" s="17" t="n"/>
      <c r="F17" s="17" t="n"/>
      <c r="G17" s="17" t="n"/>
      <c r="H17" s="17" t="n"/>
    </row>
    <row r="18">
      <c r="A18" s="19" t="inlineStr">
        <is>
          <t>5</t>
        </is>
      </c>
      <c r="B18" s="19" t="inlineStr">
        <is>
          <t>Проверить готовность</t>
        </is>
      </c>
      <c r="C18" s="19" t="inlineStr">
        <is>
          <t>Действия без закрепления</t>
        </is>
      </c>
      <c r="D18" s="19" t="inlineStr">
        <is>
          <t>GO / запускать</t>
        </is>
      </c>
      <c r="E18" s="17" t="n"/>
      <c r="F18" s="17" t="n"/>
      <c r="G18" s="17" t="n"/>
      <c r="H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</row>
    <row r="20">
      <c r="A20" s="28" t="inlineStr">
        <is>
          <t>Как пользоваться</t>
        </is>
      </c>
    </row>
    <row r="21">
      <c r="A21" s="19" t="inlineStr">
        <is>
          <t>1. Заполните 01_Ввод: сигнал Блока 10, владельца roadmap / дорожной карты и границы отсечения.</t>
        </is>
      </c>
      <c r="B21" s="19" t="str"/>
      <c r="C21" s="19" t="str"/>
      <c r="D21" s="19" t="str"/>
      <c r="E21" s="19" t="str"/>
      <c r="F21" s="19" t="str"/>
      <c r="G21" s="19" t="str"/>
      <c r="H21" s="19" t="str"/>
    </row>
    <row r="22">
      <c r="A22" s="19" t="inlineStr">
        <is>
          <t>2. На 02_Воронка очистите входы: источник CLM, причина, контур, дедуп, владелец и приоритет.</t>
        </is>
      </c>
      <c r="B22" s="19" t="str"/>
      <c r="C22" s="19" t="str"/>
      <c r="D22" s="19" t="str"/>
      <c r="E22" s="19" t="str"/>
      <c r="F22" s="19" t="str"/>
      <c r="G22" s="19" t="str"/>
      <c r="H22" s="19" t="str"/>
    </row>
    <row r="23">
      <c r="A23" s="19" t="inlineStr">
        <is>
          <t>3. На 03_Roadmap оставьте действия 30 / 60 / 90 с метриками и артефактами для Блока 12.</t>
        </is>
      </c>
      <c r="B23" s="19" t="str"/>
      <c r="C23" s="19" t="str"/>
      <c r="D23" s="19" t="str"/>
      <c r="E23" s="19" t="str"/>
      <c r="F23" s="19" t="str"/>
      <c r="G23" s="19" t="str"/>
      <c r="H23" s="19" t="str"/>
    </row>
    <row r="24">
      <c r="A24" s="19" t="inlineStr">
        <is>
          <t>4. 04_Расчет не заполняется вручную.</t>
        </is>
      </c>
      <c r="B24" s="19" t="str"/>
      <c r="C24" s="19" t="str"/>
      <c r="D24" s="19" t="str"/>
      <c r="E24" s="19" t="str"/>
      <c r="F24" s="19" t="str"/>
      <c r="G24" s="19" t="str"/>
      <c r="H24" s="19" t="str"/>
    </row>
    <row r="25">
      <c r="A25" s="19" t="inlineStr">
        <is>
          <t>5. 05_Отчет фиксирует решение для 4 сторон и передачу в Блок 12.</t>
        </is>
      </c>
      <c r="B25" s="19" t="str"/>
      <c r="C25" s="19" t="str"/>
      <c r="D25" s="19" t="str"/>
      <c r="E25" s="19" t="str"/>
      <c r="F25" s="19" t="str"/>
      <c r="G25" s="19" t="str"/>
      <c r="H25" s="19" t="str"/>
    </row>
  </sheetData>
  <mergeCells count="7">
    <mergeCell ref="F14:H14"/>
    <mergeCell ref="F13:H13"/>
    <mergeCell ref="A12:D12"/>
    <mergeCell ref="A20:H20"/>
    <mergeCell ref="F12:H12"/>
    <mergeCell ref="A1:H1"/>
    <mergeCell ref="F15:H15"/>
  </mergeCell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42" customWidth="1" style="1" min="1" max="1"/>
    <col width="92" customWidth="1" style="1" min="2" max="2"/>
    <col width="12" customWidth="1" style="1" min="3" max="3"/>
    <col width="12" customWidth="1" style="1" min="4" max="4"/>
    <col width="12" customWidth="1" style="1" min="5" max="5"/>
    <col width="12" customWidth="1" style="1" min="6" max="6"/>
    <col width="12" customWidth="1" style="1" min="7" max="7"/>
    <col width="12" customWidth="1" style="1" min="8" max="8"/>
  </cols>
  <sheetData>
    <row r="1">
      <c r="A1" s="16" t="inlineStr">
        <is>
          <t>CLM Блок 11. Ввод дорожной карты</t>
        </is>
      </c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</row>
    <row r="3">
      <c r="A3" s="18" t="inlineStr">
        <is>
          <t>Поле</t>
        </is>
      </c>
      <c r="B3" s="18" t="inlineStr">
        <is>
          <t>Значение</t>
        </is>
      </c>
      <c r="C3" s="17" t="n"/>
      <c r="D3" s="17" t="n"/>
      <c r="E3" s="17" t="n"/>
      <c r="F3" s="17" t="n"/>
      <c r="G3" s="17" t="n"/>
      <c r="H3" s="17" t="n"/>
    </row>
    <row r="4">
      <c r="A4" s="19" t="inlineStr">
        <is>
          <t>Клиент</t>
        </is>
      </c>
      <c r="B4" s="29" t="str"/>
      <c r="C4" s="17" t="n"/>
      <c r="D4" s="17" t="n"/>
      <c r="E4" s="17" t="n"/>
      <c r="F4" s="17" t="n"/>
      <c r="G4" s="17" t="n"/>
      <c r="H4" s="17" t="n"/>
    </row>
    <row r="5">
      <c r="A5" s="19" t="inlineStr">
        <is>
          <t>Дата запуска</t>
        </is>
      </c>
      <c r="B5" s="30" t="str"/>
      <c r="C5" s="17" t="n"/>
      <c r="D5" s="17" t="n"/>
      <c r="E5" s="17" t="n"/>
      <c r="F5" s="17" t="n"/>
      <c r="G5" s="17" t="n"/>
      <c r="H5" s="17" t="n"/>
    </row>
    <row r="6">
      <c r="A6" s="19" t="inlineStr">
        <is>
          <t>Главный сигнал из Блока 10</t>
        </is>
      </c>
      <c r="B6" s="29" t="str"/>
      <c r="C6" s="17" t="n"/>
      <c r="D6" s="17" t="n"/>
      <c r="E6" s="17" t="n"/>
      <c r="F6" s="17" t="n"/>
      <c r="G6" s="17" t="n"/>
      <c r="H6" s="17" t="n"/>
    </row>
    <row r="7">
      <c r="A7" s="19" t="inlineStr">
        <is>
          <t>Критичные приоритеты панели</t>
        </is>
      </c>
      <c r="B7" s="29" t="str"/>
      <c r="C7" s="17" t="n"/>
      <c r="D7" s="17" t="n"/>
      <c r="E7" s="17" t="n"/>
      <c r="F7" s="17" t="n"/>
      <c r="G7" s="17" t="n"/>
      <c r="H7" s="17" t="n"/>
    </row>
    <row r="8">
      <c r="A8" s="19" t="inlineStr">
        <is>
          <t>Главная причина потери управляемости</t>
        </is>
      </c>
      <c r="B8" s="29" t="str"/>
      <c r="C8" s="17" t="n"/>
      <c r="D8" s="17" t="n"/>
      <c r="E8" s="17" t="n"/>
      <c r="F8" s="17" t="n"/>
      <c r="G8" s="17" t="n"/>
      <c r="H8" s="17" t="n"/>
    </row>
    <row r="9">
      <c r="A9" s="19" t="inlineStr">
        <is>
          <t>Ограничение ресурса / бюджета</t>
        </is>
      </c>
      <c r="B9" s="29" t="str"/>
      <c r="C9" s="17" t="n"/>
      <c r="D9" s="17" t="n"/>
      <c r="E9" s="17" t="n"/>
      <c r="F9" s="17" t="n"/>
      <c r="G9" s="17" t="n"/>
      <c r="H9" s="17" t="n"/>
    </row>
    <row r="10">
      <c r="A10" s="19" t="inlineStr">
        <is>
          <t>Владелец roadmap / дорожной карты</t>
        </is>
      </c>
      <c r="B10" s="29" t="str"/>
      <c r="C10" s="17" t="n"/>
      <c r="D10" s="17" t="n"/>
      <c r="E10" s="17" t="n"/>
      <c r="F10" s="17" t="n"/>
      <c r="G10" s="17" t="n"/>
      <c r="H10" s="17" t="n"/>
    </row>
    <row r="11">
      <c r="A11" s="19" t="inlineStr">
        <is>
          <t>Ритм review / разбора</t>
        </is>
      </c>
      <c r="B11" s="29" t="str"/>
      <c r="C11" s="17" t="n"/>
      <c r="D11" s="17" t="n"/>
      <c r="E11" s="17" t="n"/>
      <c r="F11" s="17" t="n"/>
      <c r="G11" s="17" t="n"/>
      <c r="H11" s="17" t="n"/>
    </row>
    <row r="12">
      <c r="A12" s="19" t="inlineStr">
        <is>
          <t>Граница: что не включать</t>
        </is>
      </c>
      <c r="B12" s="29" t="str"/>
      <c r="C12" s="17" t="n"/>
      <c r="D12" s="17" t="n"/>
      <c r="E12" s="17" t="n"/>
      <c r="F12" s="17" t="n"/>
      <c r="G12" s="17" t="n"/>
      <c r="H12" s="17" t="n"/>
    </row>
    <row r="13">
      <c r="A13" s="19" t="inlineStr">
        <is>
          <t>Комментарий</t>
        </is>
      </c>
      <c r="B13" s="29" t="str"/>
      <c r="C13" s="17" t="n"/>
      <c r="D13" s="17" t="n"/>
      <c r="E13" s="17" t="n"/>
      <c r="F13" s="17" t="n"/>
      <c r="G13" s="17" t="n"/>
      <c r="H13" s="17" t="n"/>
    </row>
    <row r="14">
      <c r="A14" s="19" t="inlineStr">
        <is>
          <t>Версия дорожной карты</t>
        </is>
      </c>
      <c r="B14" s="29" t="str"/>
      <c r="C14" s="17" t="n"/>
      <c r="D14" s="17" t="n"/>
      <c r="E14" s="17" t="n"/>
      <c r="F14" s="17" t="n"/>
      <c r="G14" s="17" t="n"/>
      <c r="H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</row>
    <row r="16">
      <c r="A16" s="22" t="inlineStr">
        <is>
          <t>Правило заполнения</t>
        </is>
      </c>
      <c r="C16" s="17" t="n"/>
      <c r="D16" s="17" t="n"/>
      <c r="E16" s="17" t="n"/>
      <c r="F16" s="17" t="n"/>
      <c r="G16" s="17" t="n"/>
      <c r="H16" s="17" t="n"/>
    </row>
    <row r="17">
      <c r="A17" s="19" t="inlineStr">
        <is>
          <t>1</t>
        </is>
      </c>
      <c r="B17" s="19" t="inlineStr">
        <is>
          <t>Нет источника CLM — нет действия в roadmap / дорожной карте.</t>
        </is>
      </c>
      <c r="C17" s="17" t="n"/>
      <c r="D17" s="17" t="n"/>
      <c r="E17" s="17" t="n"/>
      <c r="F17" s="17" t="n"/>
      <c r="G17" s="17" t="n"/>
      <c r="H17" s="17" t="n"/>
    </row>
    <row r="18">
      <c r="A18" s="19" t="inlineStr">
        <is>
          <t>2</t>
        </is>
      </c>
      <c r="B18" s="19" t="inlineStr">
        <is>
          <t>Сначала убрать дубли, пожелания без причины и действия без владельца.</t>
        </is>
      </c>
      <c r="C18" s="17" t="n"/>
      <c r="D18" s="17" t="n"/>
      <c r="E18" s="17" t="n"/>
      <c r="F18" s="17" t="n"/>
      <c r="G18" s="17" t="n"/>
      <c r="H18" s="17" t="n"/>
    </row>
    <row r="19">
      <c r="A19" s="19" t="inlineStr">
        <is>
          <t>3</t>
        </is>
      </c>
      <c r="B19" s="19" t="inlineStr">
        <is>
          <t>Каждое действие должно иметь владельца, горизонт, метрику и артефакт закрепления.</t>
        </is>
      </c>
      <c r="C19" s="17" t="n"/>
      <c r="D19" s="17" t="n"/>
      <c r="E19" s="17" t="n"/>
      <c r="F19" s="17" t="n"/>
      <c r="G19" s="17" t="n"/>
      <c r="H19" s="17" t="n"/>
    </row>
    <row r="20">
      <c r="A20" s="19" t="inlineStr">
        <is>
          <t>4</t>
        </is>
      </c>
      <c r="B20" s="19" t="inlineStr">
        <is>
          <t>Блок 11 передает в Блок 12 только артефакты, которые реально закрепляют изменение.</t>
        </is>
      </c>
      <c r="C20" s="17" t="n"/>
      <c r="D20" s="17" t="n"/>
      <c r="E20" s="17" t="n"/>
      <c r="F20" s="17" t="n"/>
      <c r="G20" s="17" t="n"/>
      <c r="H20" s="17" t="n"/>
    </row>
  </sheetData>
  <mergeCells count="2">
    <mergeCell ref="A16:B16"/>
    <mergeCell ref="A1:H1"/>
  </mergeCell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1" min="1" max="1"/>
    <col width="34" customWidth="1" style="1" min="2" max="2"/>
    <col width="38" customWidth="1" style="1" min="3" max="3"/>
    <col width="28" customWidth="1" style="1" min="4" max="4"/>
    <col width="14" customWidth="1" style="1" min="5" max="5"/>
    <col width="12" customWidth="1" style="1" min="6" max="6"/>
    <col width="16" customWidth="1" style="1" min="7" max="7"/>
    <col width="12" customWidth="1" style="1" min="8" max="8"/>
    <col width="14" customWidth="1" style="1" min="9" max="9"/>
    <col width="24" customWidth="1" style="1" min="10" max="10"/>
    <col width="14" customWidth="1" style="1" min="11" max="11"/>
    <col width="18" customWidth="1" style="1" min="12" max="12"/>
  </cols>
  <sheetData>
    <row r="1">
      <c r="A1" s="16" t="inlineStr">
        <is>
          <t>Воронка дорожной карты CLM</t>
        </is>
      </c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</row>
    <row r="3">
      <c r="A3" s="18" t="inlineStr">
        <is>
          <t>Источник CLM</t>
        </is>
      </c>
      <c r="B3" s="18" t="inlineStr">
        <is>
          <t>Сигнал / вывод</t>
        </is>
      </c>
      <c r="C3" s="18" t="inlineStr">
        <is>
          <t>Причина</t>
        </is>
      </c>
      <c r="D3" s="18" t="inlineStr">
        <is>
          <t>Контур</t>
        </is>
      </c>
      <c r="E3" s="18" t="inlineStr">
        <is>
          <t>Дубль? Да/Нет</t>
        </is>
      </c>
      <c r="F3" s="18" t="inlineStr">
        <is>
          <t>Эффект 0-3</t>
        </is>
      </c>
      <c r="G3" s="18" t="inlineStr">
        <is>
          <t>Риск промедления 0-3</t>
        </is>
      </c>
      <c r="H3" s="18" t="inlineStr">
        <is>
          <t>Срочность 0-3</t>
        </is>
      </c>
      <c r="I3" s="18" t="inlineStr">
        <is>
          <t>Ресурс готов 0-3</t>
        </is>
      </c>
      <c r="J3" s="18" t="inlineStr">
        <is>
          <t>Владелец</t>
        </is>
      </c>
      <c r="K3" s="18" t="inlineStr">
        <is>
          <t>Балл приоритета</t>
        </is>
      </c>
      <c r="L3" s="18" t="inlineStr">
        <is>
          <t>Решение</t>
        </is>
      </c>
    </row>
    <row r="4">
      <c r="A4" s="29" t="str"/>
      <c r="B4" s="29" t="str"/>
      <c r="C4" s="29" t="str"/>
      <c r="D4" s="29" t="str"/>
      <c r="E4" s="29" t="str"/>
      <c r="F4" s="29" t="str"/>
      <c r="G4" s="29" t="str"/>
      <c r="H4" s="29" t="str"/>
      <c r="I4" s="29" t="str"/>
      <c r="J4" s="29" t="str"/>
      <c r="K4" s="19">
        <f>IF(COUNTA(F4:I4)&lt;4,"",IF(E4="Да",0,ROUND((F4+G4+H4+I4)/4,1)))</f>
        <v/>
      </c>
      <c r="L4" s="19">
        <f>IF(K4="","Не заполнено",IF(E4="Да","Не включать",IF(OR(A4="",C4="",J4=""),"Доработать",IF(K4&gt;=2.4,"Делать первым",IF(K4&gt;=1.6,"Планово","Не включать")))))</f>
        <v/>
      </c>
    </row>
    <row r="5">
      <c r="A5" s="29" t="str"/>
      <c r="B5" s="29" t="str"/>
      <c r="C5" s="29" t="str"/>
      <c r="D5" s="29" t="str"/>
      <c r="E5" s="29" t="str"/>
      <c r="F5" s="29" t="str"/>
      <c r="G5" s="29" t="str"/>
      <c r="H5" s="29" t="str"/>
      <c r="I5" s="29" t="str"/>
      <c r="J5" s="29" t="str"/>
      <c r="K5" s="19">
        <f>IF(COUNTA(F5:I5)&lt;4,"",IF(E5="Да",0,ROUND((F5+G5+H5+I5)/4,1)))</f>
        <v/>
      </c>
      <c r="L5" s="19">
        <f>IF(K5="","Не заполнено",IF(E5="Да","Не включать",IF(OR(A5="",C5="",J5=""),"Доработать",IF(K5&gt;=2.4,"Делать первым",IF(K5&gt;=1.6,"Планово","Не включать")))))</f>
        <v/>
      </c>
    </row>
    <row r="6">
      <c r="A6" s="29" t="str"/>
      <c r="B6" s="29" t="str"/>
      <c r="C6" s="29" t="str"/>
      <c r="D6" s="29" t="str"/>
      <c r="E6" s="29" t="str"/>
      <c r="F6" s="29" t="str"/>
      <c r="G6" s="29" t="str"/>
      <c r="H6" s="29" t="str"/>
      <c r="I6" s="29" t="str"/>
      <c r="J6" s="29" t="str"/>
      <c r="K6" s="19">
        <f>IF(COUNTA(F6:I6)&lt;4,"",IF(E6="Да",0,ROUND((F6+G6+H6+I6)/4,1)))</f>
        <v/>
      </c>
      <c r="L6" s="19">
        <f>IF(K6="","Не заполнено",IF(E6="Да","Не включать",IF(OR(A6="",C6="",J6=""),"Доработать",IF(K6&gt;=2.4,"Делать первым",IF(K6&gt;=1.6,"Планово","Не включать")))))</f>
        <v/>
      </c>
    </row>
    <row r="7">
      <c r="A7" s="29" t="str"/>
      <c r="B7" s="29" t="str"/>
      <c r="C7" s="29" t="str"/>
      <c r="D7" s="29" t="str"/>
      <c r="E7" s="29" t="str"/>
      <c r="F7" s="29" t="str"/>
      <c r="G7" s="29" t="str"/>
      <c r="H7" s="29" t="str"/>
      <c r="I7" s="29" t="str"/>
      <c r="J7" s="29" t="str"/>
      <c r="K7" s="19">
        <f>IF(COUNTA(F7:I7)&lt;4,"",IF(E7="Да",0,ROUND((F7+G7+H7+I7)/4,1)))</f>
        <v/>
      </c>
      <c r="L7" s="19">
        <f>IF(K7="","Не заполнено",IF(E7="Да","Не включать",IF(OR(A7="",C7="",J7=""),"Доработать",IF(K7&gt;=2.4,"Делать первым",IF(K7&gt;=1.6,"Планово","Не включать")))))</f>
        <v/>
      </c>
    </row>
    <row r="8">
      <c r="A8" s="29" t="str"/>
      <c r="B8" s="29" t="str"/>
      <c r="C8" s="29" t="str"/>
      <c r="D8" s="29" t="str"/>
      <c r="E8" s="29" t="str"/>
      <c r="F8" s="29" t="str"/>
      <c r="G8" s="29" t="str"/>
      <c r="H8" s="29" t="str"/>
      <c r="I8" s="29" t="str"/>
      <c r="J8" s="29" t="str"/>
      <c r="K8" s="19">
        <f>IF(COUNTA(F8:I8)&lt;4,"",IF(E8="Да",0,ROUND((F8+G8+H8+I8)/4,1)))</f>
        <v/>
      </c>
      <c r="L8" s="19">
        <f>IF(K8="","Не заполнено",IF(E8="Да","Не включать",IF(OR(A8="",C8="",J8=""),"Доработать",IF(K8&gt;=2.4,"Делать первым",IF(K8&gt;=1.6,"Планово","Не включать")))))</f>
        <v/>
      </c>
    </row>
    <row r="9">
      <c r="A9" s="29" t="str"/>
      <c r="B9" s="29" t="str"/>
      <c r="C9" s="29" t="str"/>
      <c r="D9" s="29" t="str"/>
      <c r="E9" s="29" t="str"/>
      <c r="F9" s="29" t="str"/>
      <c r="G9" s="29" t="str"/>
      <c r="H9" s="29" t="str"/>
      <c r="I9" s="29" t="str"/>
      <c r="J9" s="29" t="str"/>
      <c r="K9" s="19">
        <f>IF(COUNTA(F9:I9)&lt;4,"",IF(E9="Да",0,ROUND((F9+G9+H9+I9)/4,1)))</f>
        <v/>
      </c>
      <c r="L9" s="19">
        <f>IF(K9="","Не заполнено",IF(E9="Да","Не включать",IF(OR(A9="",C9="",J9=""),"Доработать",IF(K9&gt;=2.4,"Делать первым",IF(K9&gt;=1.6,"Планово","Не включать")))))</f>
        <v/>
      </c>
    </row>
    <row r="10">
      <c r="A10" s="29" t="str"/>
      <c r="B10" s="29" t="str"/>
      <c r="C10" s="29" t="str"/>
      <c r="D10" s="29" t="str"/>
      <c r="E10" s="29" t="str"/>
      <c r="F10" s="29" t="str"/>
      <c r="G10" s="29" t="str"/>
      <c r="H10" s="29" t="str"/>
      <c r="I10" s="29" t="str"/>
      <c r="J10" s="29" t="str"/>
      <c r="K10" s="19">
        <f>IF(COUNTA(F10:I10)&lt;4,"",IF(E10="Да",0,ROUND((F10+G10+H10+I10)/4,1)))</f>
        <v/>
      </c>
      <c r="L10" s="19">
        <f>IF(K10="","Не заполнено",IF(E10="Да","Не включать",IF(OR(A10="",C10="",J10=""),"Доработать",IF(K10&gt;=2.4,"Делать первым",IF(K10&gt;=1.6,"Планово","Не включать")))))</f>
        <v/>
      </c>
    </row>
    <row r="11">
      <c r="A11" s="29" t="str"/>
      <c r="B11" s="29" t="str"/>
      <c r="C11" s="29" t="str"/>
      <c r="D11" s="29" t="str"/>
      <c r="E11" s="29" t="str"/>
      <c r="F11" s="29" t="str"/>
      <c r="G11" s="29" t="str"/>
      <c r="H11" s="29" t="str"/>
      <c r="I11" s="29" t="str"/>
      <c r="J11" s="29" t="str"/>
      <c r="K11" s="19">
        <f>IF(COUNTA(F11:I11)&lt;4,"",IF(E11="Да",0,ROUND((F11+G11+H11+I11)/4,1)))</f>
        <v/>
      </c>
      <c r="L11" s="19">
        <f>IF(K11="","Не заполнено",IF(E11="Да","Не включать",IF(OR(A11="",C11="",J11=""),"Доработать",IF(K11&gt;=2.4,"Делать первым",IF(K11&gt;=1.6,"Планово","Не включать")))))</f>
        <v/>
      </c>
    </row>
    <row r="12">
      <c r="A12" s="29" t="str"/>
      <c r="B12" s="29" t="str"/>
      <c r="C12" s="29" t="str"/>
      <c r="D12" s="29" t="str"/>
      <c r="E12" s="29" t="str"/>
      <c r="F12" s="29" t="str"/>
      <c r="G12" s="29" t="str"/>
      <c r="H12" s="29" t="str"/>
      <c r="I12" s="29" t="str"/>
      <c r="J12" s="29" t="str"/>
      <c r="K12" s="19">
        <f>IF(COUNTA(F12:I12)&lt;4,"",IF(E12="Да",0,ROUND((F12+G12+H12+I12)/4,1)))</f>
        <v/>
      </c>
      <c r="L12" s="19">
        <f>IF(K12="","Не заполнено",IF(E12="Да","Не включать",IF(OR(A12="",C12="",J12=""),"Доработать",IF(K12&gt;=2.4,"Делать первым",IF(K12&gt;=1.6,"Планово","Не включать")))))</f>
        <v/>
      </c>
    </row>
    <row r="13">
      <c r="A13" s="29" t="str"/>
      <c r="B13" s="29" t="str"/>
      <c r="C13" s="29" t="str"/>
      <c r="D13" s="29" t="str"/>
      <c r="E13" s="29" t="str"/>
      <c r="F13" s="29" t="str"/>
      <c r="G13" s="29" t="str"/>
      <c r="H13" s="29" t="str"/>
      <c r="I13" s="29" t="str"/>
      <c r="J13" s="29" t="str"/>
      <c r="K13" s="19">
        <f>IF(COUNTA(F13:I13)&lt;4,"",IF(E13="Да",0,ROUND((F13+G13+H13+I13)/4,1)))</f>
        <v/>
      </c>
      <c r="L13" s="19">
        <f>IF(K13="","Не заполнено",IF(E13="Да","Не включать",IF(OR(A13="",C13="",J13=""),"Доработать",IF(K13&gt;=2.4,"Делать первым",IF(K13&gt;=1.6,"Планово","Не включать")))))</f>
        <v/>
      </c>
    </row>
    <row r="14">
      <c r="A14" s="29" t="str"/>
      <c r="B14" s="29" t="str"/>
      <c r="C14" s="29" t="str"/>
      <c r="D14" s="29" t="str"/>
      <c r="E14" s="29" t="str"/>
      <c r="F14" s="29" t="str"/>
      <c r="G14" s="29" t="str"/>
      <c r="H14" s="29" t="str"/>
      <c r="I14" s="29" t="str"/>
      <c r="J14" s="29" t="str"/>
      <c r="K14" s="19">
        <f>IF(COUNTA(F14:I14)&lt;4,"",IF(E14="Да",0,ROUND((F14+G14+H14+I14)/4,1)))</f>
        <v/>
      </c>
      <c r="L14" s="19">
        <f>IF(K14="","Не заполнено",IF(E14="Да","Не включать",IF(OR(A14="",C14="",J14=""),"Доработать",IF(K14&gt;=2.4,"Делать первым",IF(K14&gt;=1.6,"Планово","Не включать")))))</f>
        <v/>
      </c>
    </row>
    <row r="15">
      <c r="A15" s="29" t="str"/>
      <c r="B15" s="29" t="str"/>
      <c r="C15" s="29" t="str"/>
      <c r="D15" s="29" t="str"/>
      <c r="E15" s="29" t="str"/>
      <c r="F15" s="29" t="str"/>
      <c r="G15" s="29" t="str"/>
      <c r="H15" s="29" t="str"/>
      <c r="I15" s="29" t="str"/>
      <c r="J15" s="29" t="str"/>
      <c r="K15" s="19">
        <f>IF(COUNTA(F15:I15)&lt;4,"",IF(E15="Да",0,ROUND((F15+G15+H15+I15)/4,1)))</f>
        <v/>
      </c>
      <c r="L15" s="19">
        <f>IF(K15="","Не заполнено",IF(E15="Да","Не включать",IF(OR(A15="",C15="",J15=""),"Доработать",IF(K15&gt;=2.4,"Делать первым",IF(K15&gt;=1.6,"Планово","Не включать")))))</f>
        <v/>
      </c>
    </row>
  </sheetData>
  <mergeCells count="1">
    <mergeCell ref="A1:L1"/>
  </mergeCells>
  <dataValidations count="7">
    <dataValidation sqref="A4:A15" showDropDown="0" showInputMessage="0" showErrorMessage="0" allowBlank="0" type="list">
      <formula1>"Блок 3,Блок 4,Блок 5,Блок 6,Блок 7,Блок 8,Блок 9,Блок 10"</formula1>
    </dataValidation>
    <dataValidation sqref="D4:D15" showDropDown="0" showInputMessage="0" showErrorMessage="0" allowBlank="0" type="list">
      <formula1>"Роли и мандаты,Decision OS / система решений,Данные,Синхронизация,Устойчивость,Лидерский переход,AI / ИИ-контур"</formula1>
    </dataValidation>
    <dataValidation sqref="E4:E15" showDropDown="0" showInputMessage="0" showErrorMessage="0" allowBlank="0" type="list">
      <formula1>"Да,Нет"</formula1>
    </dataValidation>
    <dataValidation sqref="F4:F15" showDropDown="0" showInputMessage="0" showErrorMessage="0" allowBlank="0" type="whole" operator="between">
      <formula1>0</formula1>
      <formula2>3</formula2>
    </dataValidation>
    <dataValidation sqref="G4:G15" showDropDown="0" showInputMessage="0" showErrorMessage="0" allowBlank="0" type="whole" operator="between">
      <formula1>0</formula1>
      <formula2>3</formula2>
    </dataValidation>
    <dataValidation sqref="H4:H15" showDropDown="0" showInputMessage="0" showErrorMessage="0" allowBlank="0" type="whole" operator="between">
      <formula1>0</formula1>
      <formula2>3</formula2>
    </dataValidation>
    <dataValidation sqref="I4:I15" showDropDown="0" showInputMessage="0" showErrorMessage="0" allowBlank="0" type="whole" operator="between">
      <formula1>0</formula1>
      <formula2>3</formula2>
    </dataValidation>
  </dataValidation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1" min="1" max="1"/>
    <col width="36" customWidth="1" style="1" min="2" max="2"/>
    <col width="16" customWidth="1" style="1" min="3" max="3"/>
    <col width="34" customWidth="1" style="1" min="4" max="4"/>
    <col width="28" customWidth="1" style="1" min="5" max="5"/>
    <col width="24" customWidth="1" style="1" min="6" max="6"/>
    <col width="32" customWidth="1" style="1" min="7" max="7"/>
    <col width="34" customWidth="1" style="1" min="8" max="8"/>
    <col width="14" customWidth="1" style="1" min="9" max="9"/>
    <col width="14" customWidth="1" style="1" min="10" max="10"/>
    <col width="14" customWidth="1" style="1" min="11" max="11"/>
    <col width="16" customWidth="1" style="1" min="12" max="12"/>
  </cols>
  <sheetData>
    <row r="1">
      <c r="A1" s="16" t="inlineStr">
        <is>
          <t>Roadmap / дорожная карта 30 / 60 / 90</t>
        </is>
      </c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</row>
    <row r="3">
      <c r="A3" s="18" t="inlineStr">
        <is>
          <t>Горизонт</t>
        </is>
      </c>
      <c r="B3" s="18" t="inlineStr">
        <is>
          <t>Действие</t>
        </is>
      </c>
      <c r="C3" s="18" t="inlineStr">
        <is>
          <t>Источник CLM</t>
        </is>
      </c>
      <c r="D3" s="18" t="inlineStr">
        <is>
          <t>Причина</t>
        </is>
      </c>
      <c r="E3" s="18" t="inlineStr">
        <is>
          <t>Контур</t>
        </is>
      </c>
      <c r="F3" s="18" t="inlineStr">
        <is>
          <t>Владелец</t>
        </is>
      </c>
      <c r="G3" s="18" t="inlineStr">
        <is>
          <t>Метрика результата</t>
        </is>
      </c>
      <c r="H3" s="18" t="inlineStr">
        <is>
          <t>Артефакт для Блока 12</t>
        </is>
      </c>
      <c r="I3" s="18" t="inlineStr">
        <is>
          <t>Старт</t>
        </is>
      </c>
      <c r="J3" s="18" t="inlineStr">
        <is>
          <t>Срок</t>
        </is>
      </c>
      <c r="K3" s="18" t="inlineStr">
        <is>
          <t>Прогресс 0-100</t>
        </is>
      </c>
      <c r="L3" s="18" t="inlineStr">
        <is>
          <t>Статус</t>
        </is>
      </c>
    </row>
    <row r="4">
      <c r="A4" s="29" t="str"/>
      <c r="B4" s="29" t="str"/>
      <c r="C4" s="29" t="str"/>
      <c r="D4" s="29" t="str"/>
      <c r="E4" s="29" t="str"/>
      <c r="F4" s="29" t="str"/>
      <c r="G4" s="29" t="str"/>
      <c r="H4" s="29" t="str"/>
      <c r="I4" s="30" t="str"/>
      <c r="J4" s="30" t="str"/>
      <c r="K4" s="29" t="str"/>
      <c r="L4" s="19">
        <f>IF(B4="","",IF(OR(C4="",F4="",G4="",H4=""),"Доработать",IF(K4&gt;=100,"Готово",IF(K4&gt;0,"В работе","Запланировано"))))</f>
        <v/>
      </c>
    </row>
    <row r="5">
      <c r="A5" s="29" t="str"/>
      <c r="B5" s="29" t="str"/>
      <c r="C5" s="29" t="str"/>
      <c r="D5" s="29" t="str"/>
      <c r="E5" s="29" t="str"/>
      <c r="F5" s="29" t="str"/>
      <c r="G5" s="29" t="str"/>
      <c r="H5" s="29" t="str"/>
      <c r="I5" s="30" t="str"/>
      <c r="J5" s="30" t="str"/>
      <c r="K5" s="29" t="str"/>
      <c r="L5" s="19">
        <f>IF(B5="","",IF(OR(C5="",F5="",G5="",H5=""),"Доработать",IF(K5&gt;=100,"Готово",IF(K5&gt;0,"В работе","Запланировано"))))</f>
        <v/>
      </c>
    </row>
    <row r="6">
      <c r="A6" s="29" t="str"/>
      <c r="B6" s="29" t="str"/>
      <c r="C6" s="29" t="str"/>
      <c r="D6" s="29" t="str"/>
      <c r="E6" s="29" t="str"/>
      <c r="F6" s="29" t="str"/>
      <c r="G6" s="29" t="str"/>
      <c r="H6" s="29" t="str"/>
      <c r="I6" s="30" t="str"/>
      <c r="J6" s="30" t="str"/>
      <c r="K6" s="29" t="str"/>
      <c r="L6" s="19">
        <f>IF(B6="","",IF(OR(C6="",F6="",G6="",H6=""),"Доработать",IF(K6&gt;=100,"Готово",IF(K6&gt;0,"В работе","Запланировано"))))</f>
        <v/>
      </c>
    </row>
    <row r="7">
      <c r="A7" s="29" t="str"/>
      <c r="B7" s="29" t="str"/>
      <c r="C7" s="29" t="str"/>
      <c r="D7" s="29" t="str"/>
      <c r="E7" s="29" t="str"/>
      <c r="F7" s="29" t="str"/>
      <c r="G7" s="29" t="str"/>
      <c r="H7" s="29" t="str"/>
      <c r="I7" s="30" t="str"/>
      <c r="J7" s="30" t="str"/>
      <c r="K7" s="29" t="str"/>
      <c r="L7" s="19">
        <f>IF(B7="","",IF(OR(C7="",F7="",G7="",H7=""),"Доработать",IF(K7&gt;=100,"Готово",IF(K7&gt;0,"В работе","Запланировано"))))</f>
        <v/>
      </c>
    </row>
    <row r="8">
      <c r="A8" s="29" t="str"/>
      <c r="B8" s="29" t="str"/>
      <c r="C8" s="29" t="str"/>
      <c r="D8" s="29" t="str"/>
      <c r="E8" s="29" t="str"/>
      <c r="F8" s="29" t="str"/>
      <c r="G8" s="29" t="str"/>
      <c r="H8" s="29" t="str"/>
      <c r="I8" s="30" t="str"/>
      <c r="J8" s="30" t="str"/>
      <c r="K8" s="29" t="str"/>
      <c r="L8" s="19">
        <f>IF(B8="","",IF(OR(C8="",F8="",G8="",H8=""),"Доработать",IF(K8&gt;=100,"Готово",IF(K8&gt;0,"В работе","Запланировано"))))</f>
        <v/>
      </c>
    </row>
    <row r="9">
      <c r="A9" s="29" t="str"/>
      <c r="B9" s="29" t="str"/>
      <c r="C9" s="29" t="str"/>
      <c r="D9" s="29" t="str"/>
      <c r="E9" s="29" t="str"/>
      <c r="F9" s="29" t="str"/>
      <c r="G9" s="29" t="str"/>
      <c r="H9" s="29" t="str"/>
      <c r="I9" s="30" t="str"/>
      <c r="J9" s="30" t="str"/>
      <c r="K9" s="29" t="str"/>
      <c r="L9" s="19">
        <f>IF(B9="","",IF(OR(C9="",F9="",G9="",H9=""),"Доработать",IF(K9&gt;=100,"Готово",IF(K9&gt;0,"В работе","Запланировано"))))</f>
        <v/>
      </c>
    </row>
    <row r="10">
      <c r="A10" s="29" t="str"/>
      <c r="B10" s="29" t="str"/>
      <c r="C10" s="29" t="str"/>
      <c r="D10" s="29" t="str"/>
      <c r="E10" s="29" t="str"/>
      <c r="F10" s="29" t="str"/>
      <c r="G10" s="29" t="str"/>
      <c r="H10" s="29" t="str"/>
      <c r="I10" s="30" t="str"/>
      <c r="J10" s="30" t="str"/>
      <c r="K10" s="29" t="str"/>
      <c r="L10" s="19">
        <f>IF(B10="","",IF(OR(C10="",F10="",G10="",H10=""),"Доработать",IF(K10&gt;=100,"Готово",IF(K10&gt;0,"В работе","Запланировано"))))</f>
        <v/>
      </c>
    </row>
    <row r="11">
      <c r="A11" s="29" t="str"/>
      <c r="B11" s="29" t="str"/>
      <c r="C11" s="29" t="str"/>
      <c r="D11" s="29" t="str"/>
      <c r="E11" s="29" t="str"/>
      <c r="F11" s="29" t="str"/>
      <c r="G11" s="29" t="str"/>
      <c r="H11" s="29" t="str"/>
      <c r="I11" s="30" t="str"/>
      <c r="J11" s="30" t="str"/>
      <c r="K11" s="29" t="str"/>
      <c r="L11" s="19">
        <f>IF(B11="","",IF(OR(C11="",F11="",G11="",H11=""),"Доработать",IF(K11&gt;=100,"Готово",IF(K11&gt;0,"В работе","Запланировано"))))</f>
        <v/>
      </c>
    </row>
    <row r="12">
      <c r="A12" s="29" t="str"/>
      <c r="B12" s="29" t="str"/>
      <c r="C12" s="29" t="str"/>
      <c r="D12" s="29" t="str"/>
      <c r="E12" s="29" t="str"/>
      <c r="F12" s="29" t="str"/>
      <c r="G12" s="29" t="str"/>
      <c r="H12" s="29" t="str"/>
      <c r="I12" s="30" t="str"/>
      <c r="J12" s="30" t="str"/>
      <c r="K12" s="29" t="str"/>
      <c r="L12" s="19">
        <f>IF(B12="","",IF(OR(C12="",F12="",G12="",H12=""),"Доработать",IF(K12&gt;=100,"Готово",IF(K12&gt;0,"В работе","Запланировано"))))</f>
        <v/>
      </c>
    </row>
    <row r="13">
      <c r="A13" s="29" t="str"/>
      <c r="B13" s="29" t="str"/>
      <c r="C13" s="29" t="str"/>
      <c r="D13" s="29" t="str"/>
      <c r="E13" s="29" t="str"/>
      <c r="F13" s="29" t="str"/>
      <c r="G13" s="29" t="str"/>
      <c r="H13" s="29" t="str"/>
      <c r="I13" s="30" t="str"/>
      <c r="J13" s="30" t="str"/>
      <c r="K13" s="29" t="str"/>
      <c r="L13" s="19">
        <f>IF(B13="","",IF(OR(C13="",F13="",G13="",H13=""),"Доработать",IF(K13&gt;=100,"Готово",IF(K13&gt;0,"В работе","Запланировано"))))</f>
        <v/>
      </c>
    </row>
    <row r="14">
      <c r="A14" s="29" t="str"/>
      <c r="B14" s="29" t="str"/>
      <c r="C14" s="29" t="str"/>
      <c r="D14" s="29" t="str"/>
      <c r="E14" s="29" t="str"/>
      <c r="F14" s="29" t="str"/>
      <c r="G14" s="29" t="str"/>
      <c r="H14" s="29" t="str"/>
      <c r="I14" s="30" t="str"/>
      <c r="J14" s="30" t="str"/>
      <c r="K14" s="29" t="str"/>
      <c r="L14" s="19">
        <f>IF(B14="","",IF(OR(C14="",F14="",G14="",H14=""),"Доработать",IF(K14&gt;=100,"Готово",IF(K14&gt;0,"В работе","Запланировано"))))</f>
        <v/>
      </c>
    </row>
    <row r="15">
      <c r="A15" s="29" t="str"/>
      <c r="B15" s="29" t="str"/>
      <c r="C15" s="29" t="str"/>
      <c r="D15" s="29" t="str"/>
      <c r="E15" s="29" t="str"/>
      <c r="F15" s="29" t="str"/>
      <c r="G15" s="29" t="str"/>
      <c r="H15" s="29" t="str"/>
      <c r="I15" s="30" t="str"/>
      <c r="J15" s="30" t="str"/>
      <c r="K15" s="29" t="str"/>
      <c r="L15" s="19">
        <f>IF(B15="","",IF(OR(C15="",F15="",G15="",H15=""),"Доработать",IF(K15&gt;=100,"Готово",IF(K15&gt;0,"В работе","Запланировано"))))</f>
        <v/>
      </c>
    </row>
  </sheetData>
  <mergeCells count="1">
    <mergeCell ref="A1:L1"/>
  </mergeCells>
  <dataValidations count="4">
    <dataValidation sqref="A4:A15" showDropDown="0" showInputMessage="0" showErrorMessage="0" allowBlank="0" type="list">
      <formula1>"30 дней,60 дней,90 дней,180 / 360"</formula1>
    </dataValidation>
    <dataValidation sqref="C4:C15" showDropDown="0" showInputMessage="0" showErrorMessage="0" allowBlank="0" type="list">
      <formula1>"Блок 3,Блок 4,Блок 5,Блок 6,Блок 7,Блок 8,Блок 9,Блок 10"</formula1>
    </dataValidation>
    <dataValidation sqref="E4:E15" showDropDown="0" showInputMessage="0" showErrorMessage="0" allowBlank="0" type="list">
      <formula1>"Роли и мандаты,Decision OS / система решений,Данные,Синхронизация,Устойчивость,Лидерский переход,AI / ИИ-контур"</formula1>
    </dataValidation>
    <dataValidation sqref="K4:K15" showDropDown="0" showInputMessage="0" showErrorMessage="0" allowBlank="0" type="whole" operator="between">
      <formula1>0</formula1>
      <formula2>100</formula2>
    </dataValidation>
  </dataValidation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5"/>
  <cols>
    <col width="44" customWidth="1" style="1" min="1" max="1"/>
    <col width="24" customWidth="1" style="1" min="2" max="2"/>
    <col width="22" customWidth="1" style="1" min="3" max="3"/>
    <col width="28" customWidth="1" style="1" min="4" max="4"/>
    <col width="50" customWidth="1" style="1" min="5" max="5"/>
  </cols>
  <sheetData>
    <row r="1">
      <c r="A1" s="16" t="inlineStr">
        <is>
          <t>Расчёт дорожной карты</t>
        </is>
      </c>
      <c r="F1" s="16" t="n"/>
      <c r="G1" s="16" t="n"/>
      <c r="H1" s="16" t="n"/>
      <c r="I1" s="17" t="n"/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</row>
    <row r="3">
      <c r="A3" s="18" t="inlineStr">
        <is>
          <t>Показатель</t>
        </is>
      </c>
      <c r="B3" s="18" t="inlineStr">
        <is>
          <t>Значение</t>
        </is>
      </c>
      <c r="C3" s="18" t="inlineStr">
        <is>
          <t>Норма</t>
        </is>
      </c>
      <c r="D3" s="18" t="inlineStr">
        <is>
          <t>Источник</t>
        </is>
      </c>
      <c r="E3" s="18" t="inlineStr">
        <is>
          <t>Комментарий</t>
        </is>
      </c>
      <c r="F3" s="17" t="n"/>
      <c r="G3" s="23" t="inlineStr">
        <is>
          <t>Как читать расчет</t>
        </is>
      </c>
    </row>
    <row r="4">
      <c r="A4" s="19" t="inlineStr">
        <is>
          <t>Заполненность воронки</t>
        </is>
      </c>
      <c r="B4" s="20">
        <f>IFERROR(COUNT('02_Воронка'!K4:K15)/12,0)</f>
        <v/>
      </c>
      <c r="C4" s="19" t="inlineStr">
        <is>
          <t>80%+</t>
        </is>
      </c>
      <c r="D4" s="19" t="inlineStr">
        <is>
          <t>02_Воронка</t>
        </is>
      </c>
      <c r="E4" s="19" t="str"/>
      <c r="F4" s="17" t="n"/>
      <c r="G4" s="25" t="inlineStr">
        <is>
          <t>Roadmap Readiness Score показывает, готова ли дорожная карта к запуску и передаче артефактов в Блок 12.</t>
        </is>
      </c>
      <c r="H4" s="31" t="n"/>
      <c r="I4" s="32" t="n"/>
    </row>
    <row r="5">
      <c r="A5" s="19" t="inlineStr">
        <is>
          <t>Делать первым</t>
        </is>
      </c>
      <c r="B5" s="19">
        <f>COUNTIF('02_Воронка'!L4:L15,"Делать первым")</f>
        <v/>
      </c>
      <c r="C5" s="19" t="inlineStr">
        <is>
          <t>1-5</t>
        </is>
      </c>
      <c r="D5" s="19" t="inlineStr">
        <is>
          <t>02_Воронка</t>
        </is>
      </c>
      <c r="E5" s="19" t="str"/>
      <c r="F5" s="17" t="n"/>
      <c r="G5" s="25" t="inlineStr">
        <is>
          <t>Дорожная карта без артефактов не закрепляет изменение, поэтому не считается готовой.</t>
        </is>
      </c>
      <c r="H5" s="31" t="n"/>
      <c r="I5" s="32" t="n"/>
    </row>
    <row r="6">
      <c r="A6" s="19" t="inlineStr">
        <is>
          <t>Доработать</t>
        </is>
      </c>
      <c r="B6" s="19">
        <f>COUNTIF('02_Воронка'!L4:L15,"Доработать")</f>
        <v/>
      </c>
      <c r="C6" s="19" t="inlineStr">
        <is>
          <t>контроль</t>
        </is>
      </c>
      <c r="D6" s="19" t="inlineStr">
        <is>
          <t>02_Воронка</t>
        </is>
      </c>
      <c r="E6" s="19" t="str"/>
      <c r="F6" s="17" t="n"/>
      <c r="G6" s="17" t="n"/>
      <c r="H6" s="17" t="n"/>
      <c r="I6" s="17" t="n"/>
    </row>
    <row r="7">
      <c r="A7" s="19" t="inlineStr">
        <is>
          <t>Не включать</t>
        </is>
      </c>
      <c r="B7" s="19">
        <f>COUNTIF('02_Воронка'!L4:L15,"Не включать")</f>
        <v/>
      </c>
      <c r="C7" s="19" t="inlineStr">
        <is>
          <t>контроль</t>
        </is>
      </c>
      <c r="D7" s="19" t="inlineStr">
        <is>
          <t>02_Воронка</t>
        </is>
      </c>
      <c r="E7" s="19" t="str"/>
      <c r="F7" s="17" t="n"/>
      <c r="G7" s="17" t="n"/>
      <c r="H7" s="17" t="n"/>
      <c r="I7" s="17" t="n"/>
    </row>
    <row r="8">
      <c r="A8" s="19" t="inlineStr">
        <is>
          <t>Заполненность roadmap / дорожной карты</t>
        </is>
      </c>
      <c r="B8" s="20">
        <f>COUNT('03_Roadmap'!K4:K15)/12</f>
        <v/>
      </c>
      <c r="C8" s="19" t="inlineStr">
        <is>
          <t>80%+</t>
        </is>
      </c>
      <c r="D8" s="19" t="inlineStr">
        <is>
          <t>03_Roadmap</t>
        </is>
      </c>
      <c r="E8" s="19" t="str"/>
      <c r="F8" s="17" t="n"/>
      <c r="G8" s="17" t="n"/>
      <c r="H8" s="17" t="n"/>
      <c r="I8" s="17" t="n"/>
    </row>
    <row r="9">
      <c r="A9" s="19" t="inlineStr">
        <is>
          <t>Действий 30 дней</t>
        </is>
      </c>
      <c r="B9" s="19">
        <f>COUNTIF('03_Roadmap'!A4:A15,"30 дней")</f>
        <v/>
      </c>
      <c r="C9" s="19" t="inlineStr">
        <is>
          <t>1+</t>
        </is>
      </c>
      <c r="D9" s="19" t="inlineStr">
        <is>
          <t>03_Roadmap</t>
        </is>
      </c>
      <c r="E9" s="19" t="str"/>
      <c r="F9" s="17" t="n"/>
      <c r="G9" s="17" t="n"/>
      <c r="H9" s="17" t="n"/>
      <c r="I9" s="17" t="n"/>
    </row>
    <row r="10">
      <c r="A10" s="19" t="inlineStr">
        <is>
          <t>Действий 60 дней</t>
        </is>
      </c>
      <c r="B10" s="19">
        <f>COUNTIF('03_Roadmap'!A4:A15,"60 дней")</f>
        <v/>
      </c>
      <c r="C10" s="19" t="inlineStr">
        <is>
          <t>1+</t>
        </is>
      </c>
      <c r="D10" s="19" t="inlineStr">
        <is>
          <t>03_Roadmap</t>
        </is>
      </c>
      <c r="E10" s="19" t="str"/>
      <c r="F10" s="17" t="n"/>
      <c r="G10" s="17" t="n"/>
      <c r="H10" s="17" t="n"/>
      <c r="I10" s="17" t="n"/>
    </row>
    <row r="11">
      <c r="A11" s="19" t="inlineStr">
        <is>
          <t>Действий 90 дней</t>
        </is>
      </c>
      <c r="B11" s="19">
        <f>COUNTIF('03_Roadmap'!A4:A15,"90 дней")</f>
        <v/>
      </c>
      <c r="C11" s="19" t="inlineStr">
        <is>
          <t>1+</t>
        </is>
      </c>
      <c r="D11" s="19" t="inlineStr">
        <is>
          <t>03_Roadmap</t>
        </is>
      </c>
      <c r="E11" s="19" t="str"/>
      <c r="F11" s="17" t="n"/>
      <c r="G11" s="17" t="n"/>
      <c r="H11" s="17" t="n"/>
      <c r="I11" s="17" t="n"/>
    </row>
    <row r="12">
      <c r="A12" s="19" t="inlineStr">
        <is>
          <t>Артефактов для Блока 12</t>
        </is>
      </c>
      <c r="B12" s="19">
        <f>COUNTA('03_Roadmap'!H4:H15)</f>
        <v/>
      </c>
      <c r="C12" s="19" t="inlineStr">
        <is>
          <t>1+</t>
        </is>
      </c>
      <c r="D12" s="19" t="inlineStr">
        <is>
          <t>03_Roadmap</t>
        </is>
      </c>
      <c r="E12" s="19" t="str"/>
      <c r="F12" s="17" t="n"/>
      <c r="G12" s="17" t="n"/>
      <c r="H12" s="17" t="n"/>
      <c r="I12" s="17" t="n"/>
    </row>
    <row r="13">
      <c r="A13" s="19" t="inlineStr">
        <is>
          <t>Roadmap Readiness Score</t>
        </is>
      </c>
      <c r="B13" s="21">
        <f>IF(OR(B4&lt;0.8,B8&lt;0.8),"",ROUND((B4*0.25+B8*0.35+MIN(1,B5/3)*0.2+MIN(1,B12/3)*0.2)*100-IF(B6&gt;0,5,0),0))</f>
        <v/>
      </c>
      <c r="C13" s="19" t="inlineStr">
        <is>
          <t>75+</t>
        </is>
      </c>
      <c r="D13" s="19" t="inlineStr">
        <is>
          <t>Сводный показатель</t>
        </is>
      </c>
      <c r="E13" s="19" t="str"/>
      <c r="F13" s="17" t="n"/>
      <c r="G13" s="17" t="n"/>
      <c r="H13" s="17" t="n"/>
      <c r="I13" s="17" t="n"/>
    </row>
    <row r="14">
      <c r="A14" s="19" t="inlineStr">
        <is>
          <t>Статус</t>
        </is>
      </c>
      <c r="B14" s="19">
        <f>IF(B13="","",IF(B13&gt;=75,"GO / запускать",IF(B13&gt;=50,"HOLD / пауза","NO-GO / остановить")))</f>
        <v/>
      </c>
      <c r="C14" s="19" t="inlineStr">
        <is>
          <t>GO / HOLD / NO-GO</t>
        </is>
      </c>
      <c r="D14" s="19" t="inlineStr">
        <is>
          <t>Порог Score</t>
        </is>
      </c>
      <c r="E14" s="19" t="str"/>
      <c r="F14" s="17" t="n"/>
      <c r="G14" s="17" t="n"/>
      <c r="H14" s="17" t="n"/>
      <c r="I14" s="17" t="n"/>
    </row>
    <row r="15">
      <c r="A15" s="19" t="inlineStr">
        <is>
          <t>Главный риск</t>
        </is>
      </c>
      <c r="B15" s="19">
        <f>IF(B13="","Недостаточно данных",IF(B5=0,"Нет приоритетов делать первым",IF(B12=0,"Нет артефактов для Блока 12",IF(B6&gt;0,"Есть действия на доработке","Дорожная карта готова к закреплению"))))</f>
        <v/>
      </c>
      <c r="C15" s="19" t="inlineStr">
        <is>
          <t>Автовывод</t>
        </is>
      </c>
      <c r="D15" s="19" t="inlineStr">
        <is>
          <t>Score + заполненность</t>
        </is>
      </c>
      <c r="E15" s="19" t="str"/>
      <c r="F15" s="17" t="n"/>
      <c r="G15" s="17" t="n"/>
      <c r="H15" s="17" t="n"/>
      <c r="I15" s="17" t="n"/>
    </row>
    <row r="16">
      <c r="A16" s="19" t="inlineStr">
        <is>
          <t>Рекомендуемый следующий блок</t>
        </is>
      </c>
      <c r="B16" s="19">
        <f>'05_Отчет'!B9</f>
        <v/>
      </c>
      <c r="C16" s="19" t="inlineStr">
        <is>
          <t>Блок 12</t>
        </is>
      </c>
      <c r="D16" s="19" t="inlineStr">
        <is>
          <t>05_Отчет</t>
        </is>
      </c>
      <c r="E16" s="19" t="str"/>
      <c r="F16" s="17" t="n"/>
      <c r="G16" s="17" t="n"/>
      <c r="H16" s="17" t="n"/>
      <c r="I16" s="17" t="n"/>
    </row>
  </sheetData>
  <mergeCells count="4">
    <mergeCell ref="G5:I5"/>
    <mergeCell ref="A1:E1"/>
    <mergeCell ref="G4:I4"/>
    <mergeCell ref="G3:I3"/>
  </mergeCell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36" customWidth="1" style="1" min="1" max="1"/>
    <col width="48" customWidth="1" style="1" min="2" max="2"/>
    <col width="38" customWidth="1" style="1" min="3" max="3"/>
    <col width="38" customWidth="1" style="1" min="4" max="4"/>
    <col width="12" customWidth="1" style="1" min="5" max="5"/>
    <col width="12" customWidth="1" style="1" min="6" max="6"/>
    <col width="12" customWidth="1" style="1" min="7" max="7"/>
    <col width="12" customWidth="1" style="1" min="8" max="8"/>
  </cols>
  <sheetData>
    <row r="1">
      <c r="A1" s="16" t="inlineStr">
        <is>
          <t>Отчёт Блока 11</t>
        </is>
      </c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</row>
    <row r="3">
      <c r="A3" s="24" t="inlineStr">
        <is>
          <t>Поле</t>
        </is>
      </c>
      <c r="B3" s="24" t="inlineStr">
        <is>
          <t>Вывод</t>
        </is>
      </c>
      <c r="C3" s="17" t="n"/>
      <c r="D3" s="17" t="n"/>
      <c r="E3" s="17" t="n"/>
      <c r="F3" s="23" t="inlineStr">
        <is>
          <t>Формула вывода</t>
        </is>
      </c>
    </row>
    <row r="4">
      <c r="A4" s="19" t="inlineStr">
        <is>
          <t>Клиент</t>
        </is>
      </c>
      <c r="B4" s="19">
        <f>IF('01_Ввод'!B4="","",'01_Ввод'!B4)</f>
        <v/>
      </c>
      <c r="C4" s="17" t="n"/>
      <c r="D4" s="17" t="n"/>
      <c r="E4" s="17" t="n"/>
      <c r="F4" s="25" t="inlineStr">
        <is>
          <t>Источник CLM → причина → действие → владелец → горизонт → метрика → артефакт Блока 12.</t>
        </is>
      </c>
      <c r="G4" s="31" t="n"/>
      <c r="H4" s="32" t="n"/>
    </row>
    <row r="5">
      <c r="A5" s="19" t="inlineStr">
        <is>
          <t>Roadmap Readiness Score</t>
        </is>
      </c>
      <c r="B5" s="21">
        <f>'04_Расчет'!B13</f>
        <v/>
      </c>
      <c r="C5" s="17" t="n"/>
      <c r="D5" s="17" t="n"/>
      <c r="E5" s="17" t="n"/>
      <c r="F5" s="17" t="n"/>
      <c r="G5" s="17" t="n"/>
      <c r="H5" s="17" t="n"/>
    </row>
    <row r="6">
      <c r="A6" s="19" t="inlineStr">
        <is>
          <t>Статус</t>
        </is>
      </c>
      <c r="B6" s="19">
        <f>'04_Расчет'!B14</f>
        <v/>
      </c>
      <c r="C6" s="17" t="n"/>
      <c r="D6" s="17" t="n"/>
      <c r="E6" s="17" t="n"/>
      <c r="F6" s="17" t="n"/>
      <c r="G6" s="17" t="n"/>
      <c r="H6" s="17" t="n"/>
    </row>
    <row r="7">
      <c r="A7" s="19" t="inlineStr">
        <is>
          <t>Главный риск</t>
        </is>
      </c>
      <c r="B7" s="19">
        <f>'04_Расчет'!B15</f>
        <v/>
      </c>
      <c r="C7" s="17" t="n"/>
      <c r="D7" s="17" t="n"/>
      <c r="E7" s="17" t="n"/>
      <c r="F7" s="17" t="n"/>
      <c r="G7" s="17" t="n"/>
      <c r="H7" s="17" t="n"/>
    </row>
    <row r="8">
      <c r="A8" s="19" t="inlineStr">
        <is>
          <t>Рекомендуемый следующий блок</t>
        </is>
      </c>
      <c r="B8" s="29" t="str"/>
      <c r="C8" s="17" t="n"/>
      <c r="D8" s="17" t="n"/>
      <c r="E8" s="17" t="n"/>
      <c r="F8" s="17" t="n"/>
      <c r="G8" s="17" t="n"/>
      <c r="H8" s="17" t="n"/>
    </row>
    <row r="9">
      <c r="A9" s="19" t="inlineStr">
        <is>
          <t>Комментарий консультанта</t>
        </is>
      </c>
      <c r="B9" s="29" t="str"/>
      <c r="C9" s="17" t="n"/>
      <c r="D9" s="17" t="n"/>
      <c r="E9" s="17" t="n"/>
      <c r="F9" s="17" t="n"/>
      <c r="G9" s="17" t="n"/>
      <c r="H9" s="17" t="n"/>
    </row>
    <row r="10">
      <c r="A10" s="19" t="inlineStr">
        <is>
          <t>Первое действие 30 дней</t>
        </is>
      </c>
      <c r="B10" s="29" t="str"/>
      <c r="C10" s="17" t="n"/>
      <c r="D10" s="17" t="n"/>
      <c r="E10" s="17" t="n"/>
      <c r="F10" s="17" t="n"/>
      <c r="G10" s="17" t="n"/>
      <c r="H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</row>
    <row r="12">
      <c r="A12" s="22" t="inlineStr">
        <is>
          <t>Решение для 4 сторон</t>
        </is>
      </c>
      <c r="E12" s="17" t="n"/>
      <c r="F12" s="17" t="n"/>
      <c r="G12" s="17" t="n"/>
      <c r="H12" s="17" t="n"/>
    </row>
    <row r="13">
      <c r="A13" s="18" t="inlineStr">
        <is>
          <t>Сторона</t>
        </is>
      </c>
      <c r="B13" s="18" t="inlineStr">
        <is>
          <t>Что показать</t>
        </is>
      </c>
      <c r="C13" s="18" t="inlineStr">
        <is>
          <t>Что не включать</t>
        </is>
      </c>
      <c r="D13" s="18" t="inlineStr">
        <is>
          <t>Решение</t>
        </is>
      </c>
      <c r="E13" s="17" t="n"/>
      <c r="F13" s="17" t="n"/>
      <c r="G13" s="17" t="n"/>
      <c r="H13" s="17" t="n"/>
    </row>
    <row r="14">
      <c r="A14" s="19" t="inlineStr">
        <is>
          <t>CEO / генеральный директор</t>
        </is>
      </c>
      <c r="B14" s="19" t="inlineStr">
        <is>
          <t>Ограниченный набор действий с владельцами, сроками и метриками</t>
        </is>
      </c>
      <c r="C14" s="19" t="inlineStr">
        <is>
          <t>Все идеи и пожелания без источника CLM</t>
        </is>
      </c>
      <c r="D14" s="29" t="str"/>
      <c r="E14" s="17" t="n"/>
      <c r="F14" s="17" t="n"/>
      <c r="G14" s="17" t="n"/>
      <c r="H14" s="17" t="n"/>
    </row>
    <row r="15">
      <c r="A15" s="19" t="inlineStr">
        <is>
          <t>C-level-команда / первый управленческий круг</t>
        </is>
      </c>
      <c r="B15" s="19" t="inlineStr">
        <is>
          <t>Кто за что отвечает и что изменится в 30 / 60 / 90</t>
        </is>
      </c>
      <c r="C15" s="19" t="inlineStr">
        <is>
          <t>Закрытые персональные оценки</t>
        </is>
      </c>
      <c r="D15" s="29" t="str"/>
      <c r="E15" s="17" t="n"/>
      <c r="F15" s="17" t="n"/>
      <c r="G15" s="17" t="n"/>
      <c r="H15" s="17" t="n"/>
    </row>
    <row r="16">
      <c r="A16" s="19" t="inlineStr">
        <is>
          <t>Владелец компании</t>
        </is>
      </c>
      <c r="B16" s="19" t="inlineStr">
        <is>
          <t>Какие системные риски закрывает дорожная карта</t>
        </is>
      </c>
      <c r="C16" s="19" t="inlineStr">
        <is>
          <t>Операционные задачи без влияния на управляемость</t>
        </is>
      </c>
      <c r="D16" s="29" t="str"/>
      <c r="E16" s="17" t="n"/>
      <c r="F16" s="17" t="n"/>
      <c r="G16" s="17" t="n"/>
      <c r="H16" s="17" t="n"/>
    </row>
    <row r="17">
      <c r="A17" s="19" t="inlineStr">
        <is>
          <t>Board / совет директоров</t>
        </is>
      </c>
      <c r="B17" s="19" t="inlineStr">
        <is>
          <t>Приоритеты, горизонты, владельцев и проверяемый результат</t>
        </is>
      </c>
      <c r="C17" s="19" t="inlineStr">
        <is>
          <t>Детальную методологическую кухню</t>
        </is>
      </c>
      <c r="D17" s="29" t="str"/>
      <c r="E17" s="17" t="n"/>
      <c r="F17" s="17" t="n"/>
      <c r="G17" s="17" t="n"/>
      <c r="H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</row>
    <row r="19">
      <c r="A19" s="22" t="inlineStr">
        <is>
          <t>Передача в Блок 12</t>
        </is>
      </c>
      <c r="E19" s="17" t="n"/>
      <c r="F19" s="17" t="n"/>
      <c r="G19" s="17" t="n"/>
      <c r="H19" s="17" t="n"/>
    </row>
    <row r="20">
      <c r="A20" s="18" t="inlineStr">
        <is>
          <t>Артефакт</t>
        </is>
      </c>
      <c r="B20" s="18" t="inlineStr">
        <is>
          <t>Источник действия</t>
        </is>
      </c>
      <c r="C20" s="18" t="inlineStr">
        <is>
          <t>Владелец</t>
        </is>
      </c>
      <c r="D20" s="18" t="inlineStr">
        <is>
          <t>Статус</t>
        </is>
      </c>
      <c r="E20" s="17" t="n"/>
      <c r="F20" s="17" t="n"/>
      <c r="G20" s="17" t="n"/>
      <c r="H20" s="17" t="n"/>
    </row>
    <row r="21">
      <c r="A21" s="29" t="str"/>
      <c r="B21" s="29" t="str"/>
      <c r="C21" s="29" t="str"/>
      <c r="D21" s="29" t="str"/>
      <c r="E21" s="17" t="n"/>
      <c r="F21" s="17" t="n"/>
      <c r="G21" s="17" t="n"/>
      <c r="H21" s="17" t="n"/>
    </row>
    <row r="22">
      <c r="A22" s="29" t="str"/>
      <c r="B22" s="29" t="str"/>
      <c r="C22" s="29" t="str"/>
      <c r="D22" s="29" t="str"/>
      <c r="E22" s="17" t="n"/>
      <c r="F22" s="17" t="n"/>
      <c r="G22" s="17" t="n"/>
      <c r="H22" s="17" t="n"/>
    </row>
    <row r="23">
      <c r="A23" s="29" t="str"/>
      <c r="B23" s="29" t="str"/>
      <c r="C23" s="29" t="str"/>
      <c r="D23" s="29" t="str"/>
      <c r="E23" s="17" t="n"/>
      <c r="F23" s="17" t="n"/>
      <c r="G23" s="17" t="n"/>
      <c r="H23" s="17" t="n"/>
    </row>
    <row r="24">
      <c r="A24" s="29" t="str"/>
      <c r="B24" s="29" t="str"/>
      <c r="C24" s="29" t="str"/>
      <c r="D24" s="29" t="str"/>
      <c r="E24" s="17" t="n"/>
      <c r="F24" s="17" t="n"/>
      <c r="G24" s="17" t="n"/>
      <c r="H24" s="17" t="n"/>
    </row>
    <row r="25">
      <c r="A25" s="29" t="str"/>
      <c r="B25" s="29" t="str"/>
      <c r="C25" s="29" t="str"/>
      <c r="D25" s="29" t="str"/>
      <c r="E25" s="17" t="n"/>
      <c r="F25" s="17" t="n"/>
      <c r="G25" s="17" t="n"/>
      <c r="H25" s="17" t="n"/>
    </row>
    <row r="26">
      <c r="A26" s="29" t="str"/>
      <c r="B26" s="29" t="str"/>
      <c r="C26" s="29" t="str"/>
      <c r="D26" s="29" t="str"/>
      <c r="E26" s="17" t="n"/>
      <c r="F26" s="17" t="n"/>
      <c r="G26" s="17" t="n"/>
      <c r="H26" s="17" t="n"/>
    </row>
    <row r="27">
      <c r="A27" s="29" t="str"/>
      <c r="B27" s="29" t="str"/>
      <c r="C27" s="29" t="str"/>
      <c r="D27" s="29" t="str"/>
      <c r="E27" s="17" t="n"/>
      <c r="F27" s="17" t="n"/>
      <c r="G27" s="17" t="n"/>
      <c r="H27" s="17" t="n"/>
    </row>
  </sheetData>
  <mergeCells count="5">
    <mergeCell ref="A12:D12"/>
    <mergeCell ref="F4:H4"/>
    <mergeCell ref="A19:D19"/>
    <mergeCell ref="A1:H1"/>
    <mergeCell ref="F3:H3"/>
  </mergeCells>
  <dataValidations count="1">
    <dataValidation sqref="B8" showDropDown="0" showInputMessage="0" showErrorMessage="0" allowBlank="0" type="list">
      <formula1>"Блок 12,Блоки 3-10,Не передавать"</formula1>
    </dataValidation>
  </dataValidation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28" customWidth="1" style="1" min="1" max="1"/>
    <col width="66" customWidth="1" style="1" min="2" max="2"/>
    <col width="4" customWidth="1" style="1" min="3" max="3"/>
    <col width="18" customWidth="1" style="1" min="4" max="4"/>
    <col width="62" customWidth="1" style="1" min="5" max="5"/>
    <col width="4" customWidth="1" style="1" min="6" max="6"/>
    <col width="30" customWidth="1" style="1" min="7" max="7"/>
    <col width="18" customWidth="1" style="1" min="8" max="8"/>
    <col width="66" customWidth="1" style="1" min="9" max="9"/>
  </cols>
  <sheetData>
    <row r="1">
      <c r="A1" s="18" t="inlineStr">
        <is>
          <t>Контур</t>
        </is>
      </c>
      <c r="B1" s="18" t="inlineStr">
        <is>
          <t>Что чинит</t>
        </is>
      </c>
      <c r="C1" s="16" t="n"/>
      <c r="D1" s="24" t="inlineStr">
        <is>
          <t>Горизонт</t>
        </is>
      </c>
      <c r="E1" s="24" t="inlineStr">
        <is>
          <t>Смысл</t>
        </is>
      </c>
      <c r="F1" s="16" t="n"/>
      <c r="G1" s="24" t="inlineStr">
        <is>
          <t>Сигнал</t>
        </is>
      </c>
      <c r="H1" s="24" t="inlineStr">
        <is>
          <t>Следующий шаг</t>
        </is>
      </c>
      <c r="I1" s="24" t="inlineStr">
        <is>
          <t>Когда нужен</t>
        </is>
      </c>
    </row>
    <row r="2">
      <c r="A2" s="19" t="inlineStr">
        <is>
          <t>Роли и мандаты</t>
        </is>
      </c>
      <c r="B2" s="19" t="inlineStr">
        <is>
          <t>Права решений, ответственность, готовность роли</t>
        </is>
      </c>
      <c r="C2" s="17" t="n"/>
      <c r="D2" s="19" t="inlineStr">
        <is>
          <t>30 дней</t>
        </is>
      </c>
      <c r="E2" s="19" t="inlineStr">
        <is>
          <t>Остановить критический разрыв и назначить владельца.</t>
        </is>
      </c>
      <c r="F2" s="17" t="n"/>
      <c r="G2" s="19" t="inlineStr">
        <is>
          <t>Нужны артефакты закрепления</t>
        </is>
      </c>
      <c r="H2" s="19" t="inlineStr">
        <is>
          <t>Блок 12</t>
        </is>
      </c>
      <c r="I2" s="19" t="inlineStr">
        <is>
          <t>Передать карточки ролей, шаблоны решений, регламенты, журналы.</t>
        </is>
      </c>
    </row>
    <row r="3">
      <c r="A3" s="19" t="inlineStr">
        <is>
          <t>Decision OS / система решений</t>
        </is>
      </c>
      <c r="B3" s="19" t="inlineStr">
        <is>
          <t>Путь решения, владелец, критерии, разбор</t>
        </is>
      </c>
      <c r="C3" s="17" t="n"/>
      <c r="D3" s="19" t="inlineStr">
        <is>
          <t>60 дней</t>
        </is>
      </c>
      <c r="E3" s="19" t="inlineStr">
        <is>
          <t>Перенастроить мандат, решение, данные или ритм.</t>
        </is>
      </c>
      <c r="F3" s="17" t="n"/>
      <c r="G3" s="19" t="inlineStr">
        <is>
          <t>Нет источника CLM</t>
        </is>
      </c>
      <c r="H3" s="19" t="inlineStr">
        <is>
          <t>Не включать</t>
        </is>
      </c>
      <c r="I3" s="19" t="inlineStr">
        <is>
          <t>Вернуть в разбор, но не добавлять в roadmap / дорожную карту.</t>
        </is>
      </c>
    </row>
    <row r="4">
      <c r="A4" s="19" t="inlineStr">
        <is>
          <t>Данные</t>
        </is>
      </c>
      <c r="B4" s="19" t="inlineStr">
        <is>
          <t>Источник, качество, единая версия фактов</t>
        </is>
      </c>
      <c r="C4" s="17" t="n"/>
      <c r="D4" s="19" t="inlineStr">
        <is>
          <t>90 дней</t>
        </is>
      </c>
      <c r="E4" s="19" t="inlineStr">
        <is>
          <t>Закрепить изменение в метрике и артефакте.</t>
        </is>
      </c>
      <c r="F4" s="17" t="n"/>
      <c r="G4" s="19" t="inlineStr">
        <is>
          <t>Нет владельца или метрики</t>
        </is>
      </c>
      <c r="H4" s="19" t="inlineStr">
        <is>
          <t>Доработать</t>
        </is>
      </c>
      <c r="I4" s="19" t="inlineStr">
        <is>
          <t>Уточнить ответственность и проверяемый результат.</t>
        </is>
      </c>
    </row>
    <row r="5">
      <c r="A5" s="19" t="inlineStr">
        <is>
          <t>Синхронизация</t>
        </is>
      </c>
      <c r="B5" s="19" t="inlineStr">
        <is>
          <t>Интерфейсы ролей, KPI, доверие</t>
        </is>
      </c>
      <c r="C5" s="17" t="n"/>
      <c r="D5" s="19" t="inlineStr">
        <is>
          <t>180 / 360</t>
        </is>
      </c>
      <c r="E5" s="19" t="inlineStr">
        <is>
          <t>Только системные изменения C-level-ядра.</t>
        </is>
      </c>
      <c r="F5" s="17" t="n"/>
      <c r="G5" s="19" t="inlineStr">
        <is>
          <t>Нужен новый цикл диагностики</t>
        </is>
      </c>
      <c r="H5" s="19" t="inlineStr">
        <is>
          <t>Блоки 3-10</t>
        </is>
      </c>
      <c r="I5" s="19" t="inlineStr">
        <is>
          <t>Вернуться к источнику сигнала.</t>
        </is>
      </c>
    </row>
    <row r="6">
      <c r="A6" s="19" t="inlineStr">
        <is>
          <t>Устойчивость</t>
        </is>
      </c>
      <c r="B6" s="19" t="inlineStr">
        <is>
          <t>Шоки, резервы, Recovery Loop / контур восстановления</t>
        </is>
      </c>
      <c r="C6" s="17" t="n"/>
      <c r="D6" s="17" t="n"/>
      <c r="E6" s="17" t="n"/>
      <c r="F6" s="17" t="n"/>
      <c r="G6" s="17" t="n"/>
      <c r="H6" s="17" t="n"/>
      <c r="I6" s="17" t="n"/>
    </row>
    <row r="7">
      <c r="A7" s="19" t="inlineStr">
        <is>
          <t>Лидерский переход</t>
        </is>
      </c>
      <c r="B7" s="19" t="inlineStr">
        <is>
          <t>Снижение ручного режима, передача мандатов</t>
        </is>
      </c>
      <c r="C7" s="17" t="n"/>
      <c r="D7" s="17" t="n"/>
      <c r="E7" s="17" t="n"/>
      <c r="F7" s="17" t="n"/>
      <c r="G7" s="17" t="n"/>
      <c r="H7" s="17" t="n"/>
      <c r="I7" s="17" t="n"/>
    </row>
    <row r="8">
      <c r="A8" s="19" t="inlineStr">
        <is>
          <t>AI / ИИ-контур</t>
        </is>
      </c>
      <c r="B8" s="19" t="inlineStr">
        <is>
          <t>Допуск, контроль, данные, экономика, fallback / резерв</t>
        </is>
      </c>
      <c r="C8" s="17" t="n"/>
      <c r="D8" s="17" t="n"/>
      <c r="E8" s="17" t="n"/>
      <c r="F8" s="17" t="n"/>
      <c r="G8" s="17" t="n"/>
      <c r="H8" s="17" t="n"/>
      <c r="I8" s="17" t="n"/>
    </row>
  </sheetData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Управление Директорами — CLM_BLOCK_11_ROADMAP_MODULE_RELEASE_V1_LIGHT</dc:title>
  <dc:subject xmlns:dc="http://purl.org/dc/elements/1.1/">Технологическая основа: CLM / C-Level Management / управление C-level-ядром</dc:subject>
  <dcterms:created xmlns:dcterms="http://purl.org/dc/terms/" xmlns:xsi="http://www.w3.org/2001/XMLSchema-instance" xsi:type="dcterms:W3CDTF">2026-07-08T10:07:43Z</dcterms:created>
  <dcterms:modified xmlns:dcterms="http://purl.org/dc/terms/" xmlns:xsi="http://www.w3.org/2001/XMLSchema-instance" xsi:type="dcterms:W3CDTF">2026-07-21T08:33:50Z</dcterms:modified>
</cp:coreProperties>
</file>