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Панель" sheetId="1" state="visible" r:id="rId1"/>
    <sheet xmlns:r="http://schemas.openxmlformats.org/officeDocument/2006/relationships" name="01_Ввод" sheetId="2" state="visible" r:id="rId2"/>
    <sheet xmlns:r="http://schemas.openxmlformats.org/officeDocument/2006/relationships" name="02_Переход" sheetId="3" state="visible" r:id="rId3"/>
    <sheet xmlns:r="http://schemas.openxmlformats.org/officeDocument/2006/relationships" name="03_Мандаты" sheetId="4" state="visible" r:id="rId4"/>
    <sheet xmlns:r="http://schemas.openxmlformats.org/officeDocument/2006/relationships" name="04_Расчет" sheetId="5" state="visible" r:id="rId5"/>
    <sheet xmlns:r="http://schemas.openxmlformats.org/officeDocument/2006/relationships" name="05_Отчет" sheetId="6" state="visible" r:id="rId6"/>
    <sheet xmlns:r="http://schemas.openxmlformats.org/officeDocument/2006/relationships" name="90_Справочник" sheetId="7" state="visible" r:id="rId7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10">
    <font>
      <name val="Carlito"/>
      <sz val="11"/>
    </font>
    <font>
      <name val="Carlito"/>
      <b val="1"/>
      <color rgb="FFFFFFFF"/>
      <sz val="11"/>
    </font>
    <font>
      <name val="Carlito"/>
      <color rgb="FF111827"/>
      <sz val="10"/>
    </font>
    <font>
      <name val="Carlito"/>
      <b val="1"/>
      <color rgb="FF0B1F33"/>
      <sz val="16"/>
    </font>
    <font>
      <name val="Carlito"/>
      <b val="1"/>
      <color rgb="FF0F766E"/>
      <sz val="11"/>
    </font>
    <font>
      <name val="Carlito"/>
      <b val="1"/>
      <color rgb="FF0B1F33"/>
      <sz val="11"/>
    </font>
    <font>
      <name val="Arial"/>
      <b val="1"/>
      <color rgb="000B1F33"/>
      <sz val="16"/>
    </font>
    <font>
      <name val="Arial"/>
      <b val="1"/>
      <color rgb="00FFFFFF"/>
      <sz val="10"/>
    </font>
    <font>
      <name val="Arial"/>
      <color rgb="00111827"/>
      <sz val="10"/>
    </font>
    <font>
      <name val="Arial"/>
      <b val="1"/>
      <color rgb="000B1F33"/>
      <sz val="11"/>
    </font>
  </fonts>
  <fills count="6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0F766E"/>
      </patternFill>
    </fill>
    <fill>
      <patternFill patternType="solid">
        <fgColor rgb="00F3EBDD"/>
      </patternFill>
    </fill>
    <fill>
      <patternFill patternType="solid">
        <fgColor rgb="00FFF7ED"/>
      </patternFill>
    </fill>
  </fills>
  <borders count="9">
    <border/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FDBA74"/>
      </left>
      <right style="thin">
        <color rgb="FFFDBA74"/>
      </right>
      <top style="thin">
        <color rgb="FFFDBA74"/>
      </top>
      <bottom style="thin">
        <color rgb="FFFDBA74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CBD5E1"/>
      </top>
    </border>
    <border>
      <right style="thin">
        <color rgb="00CBD5E1"/>
      </right>
      <top style="thin">
        <color rgb="00CBD5E1"/>
      </top>
    </border>
    <border>
      <top style="thin">
        <color rgb="00CBD5E1"/>
      </top>
      <bottom style="thin">
        <color rgb="00CBD5E1"/>
      </bottom>
    </border>
    <border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FDBA74"/>
      </left>
      <right style="thin">
        <color rgb="00FDBA74"/>
      </right>
      <top style="thin">
        <color rgb="00FDBA74"/>
      </top>
      <bottom style="thin">
        <color rgb="00FDBA74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1" applyAlignment="1" pivotButton="0" quotePrefix="0" xfId="0">
      <alignment wrapText="1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3" fillId="0" borderId="0" pivotButton="0" quotePrefix="0" xfId="0"/>
    <xf numFmtId="0" fontId="2" fillId="0" borderId="1" applyAlignment="1" pivotButton="0" quotePrefix="0" xfId="0">
      <alignment wrapText="1"/>
    </xf>
    <xf numFmtId="0" fontId="2" fillId="0" borderId="2" applyAlignment="1" pivotButton="0" quotePrefix="0" xfId="0">
      <alignment wrapText="1"/>
    </xf>
    <xf numFmtId="164" fontId="2" fillId="0" borderId="2" applyAlignment="1" pivotButton="0" quotePrefix="0" xfId="0">
      <alignment wrapText="1"/>
    </xf>
    <xf numFmtId="0" fontId="4" fillId="0" borderId="0" pivotButton="0" quotePrefix="0" xfId="0"/>
    <xf numFmtId="9" fontId="2" fillId="0" borderId="1" applyAlignment="1" pivotButton="0" quotePrefix="0" xfId="0">
      <alignment wrapText="1"/>
    </xf>
    <xf numFmtId="1" fontId="2" fillId="0" borderId="1" applyAlignment="1" pivotButton="0" quotePrefix="0" xfId="0">
      <alignment wrapText="1"/>
    </xf>
    <xf numFmtId="0" fontId="5" fillId="0" borderId="0" pivotButton="0" quotePrefix="0" xfId="0"/>
    <xf numFmtId="0" fontId="6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7" fillId="2" borderId="3" applyAlignment="1" pivotButton="0" quotePrefix="0" xfId="0">
      <alignment vertical="center" wrapText="1"/>
    </xf>
    <xf numFmtId="0" fontId="8" fillId="0" borderId="3" applyAlignment="1" pivotButton="0" quotePrefix="0" xfId="0">
      <alignment vertical="center" wrapText="1"/>
    </xf>
    <xf numFmtId="9" fontId="8" fillId="0" borderId="3" applyAlignment="1" pivotButton="0" quotePrefix="0" xfId="0">
      <alignment vertical="center" wrapText="1"/>
    </xf>
    <xf numFmtId="1" fontId="8" fillId="0" borderId="3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9" fillId="4" borderId="0" applyAlignment="1" pivotButton="0" quotePrefix="0" xfId="0">
      <alignment vertical="center" wrapText="1"/>
    </xf>
    <xf numFmtId="0" fontId="7" fillId="3" borderId="3" applyAlignment="1" pivotButton="0" quotePrefix="0" xfId="0">
      <alignment vertical="center" wrapText="1"/>
    </xf>
    <xf numFmtId="0" fontId="8" fillId="5" borderId="3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0" fontId="0" fillId="0" borderId="7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8" fillId="5" borderId="8" applyAlignment="1" pivotButton="0" quotePrefix="0" xfId="0">
      <alignment vertical="center" wrapText="1"/>
    </xf>
    <xf numFmtId="164" fontId="8" fillId="5" borderId="8" applyAlignment="1" pivotButton="0" quotePrefix="0" xfId="0">
      <alignment vertical="center" wrapText="1"/>
    </xf>
    <xf numFmtId="0" fontId="0" fillId="0" borderId="6" pivotButton="0" quotePrefix="0" xfId="0"/>
    <xf numFmtId="0" fontId="0" fillId="0" borderId="7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CLM</author>
  </authors>
  <commentList>
    <comment ref="B5" authorId="0" shapeId="0">
      <text>
        <t>Доля заполненной карты лидерских сдвигов. До заполнения LTI / индекс лидерского перехода не считается.</t>
      </text>
    </comment>
    <comment ref="B6" authorId="0" shapeId="0">
      <text>
        <t>Средняя степень делегирования мандатов. Норма — не ниже 75%.</t>
      </text>
    </comment>
    <comment ref="B7" authorId="0" shapeId="0">
      <text>
        <t>Критичные зоны появляются только после достаточного заполнения, чтобы не было ложного нуля.</t>
      </text>
    </comment>
    <comment ref="B8" authorId="0" shapeId="0">
      <text>
        <t>LTI / индекс лидерского перехода: сводный сигнал готовности перейти от ручного контроля к CLM-режиму.</t>
      </text>
    </comment>
    <comment ref="B9" authorId="0" shapeId="0">
      <text>
        <t>Итоговый статус: GO / запускать, HOLD / пауза, NO-GO / остановить.</t>
      </text>
    </comment>
  </commentList>
</comments>
</file>

<file path=xl/comments/comment2.xml><?xml version="1.0" encoding="utf-8"?>
<comments xmlns="http://schemas.openxmlformats.org/spreadsheetml/2006/main">
  <authors>
    <author>CLM</author>
  </authors>
  <commentList>
    <comment ref="B4" authorId="0" shapeId="0">
      <text>
        <t>Название клиента или проекта.</t>
      </text>
    </comment>
    <comment ref="B5" authorId="0" shapeId="0">
      <text>
        <t>Дата запуска Блока 8.</t>
      </text>
    </comment>
    <comment ref="B6" authorId="0" shapeId="0">
      <text>
        <t>Главный разрыв из Блока 3: где C-level-ядро теряет управляемость.</t>
      </text>
    </comment>
    <comment ref="B7" authorId="0" shapeId="0">
      <text>
        <t>Риск роли из Блока 4: какая роль не держит мандат.</t>
      </text>
    </comment>
    <comment ref="B8" authorId="0" shapeId="0">
      <text>
        <t>Какой сбой решений пришел из Блока 5.</t>
      </text>
    </comment>
    <comment ref="B9" authorId="0" shapeId="0">
      <text>
        <t>Где синхронизация ролей ломается из Блока 6.</t>
      </text>
    </comment>
    <comment ref="B10" authorId="0" shapeId="0">
      <text>
        <t>Что показал Блок 7: где устойчивость держится на CEO или ручном контроле.</t>
      </text>
    </comment>
    <comment ref="B11" authorId="0" shapeId="0">
      <text>
        <t>Конкретная зона зависимости от CEO: решение, мандат, данные, конфликт или кризис.</t>
      </text>
    </comment>
    <comment ref="B12" authorId="0" shapeId="0">
      <text>
        <t>Кто отвечает за проведение лидерского перехода.</t>
      </text>
    </comment>
  </commentList>
</comments>
</file>

<file path=xl/comments/comment3.xml><?xml version="1.0" encoding="utf-8"?>
<comments xmlns="http://schemas.openxmlformats.org/spreadsheetml/2006/main">
  <authors>
    <author>CLM</author>
  </authors>
  <commentList>
    <comment ref="D3" authorId="0" shapeId="0">
      <text>
        <t>0 — зрелости нет; 3 — новый режим подтвержден фактами.</t>
      </text>
    </comment>
    <comment ref="E3" authorId="0" shapeId="0">
      <text>
        <t>0 — не зависит от лидера; 3 — держится на ручном контроле лидера.</t>
      </text>
    </comment>
    <comment ref="F3" authorId="0" shapeId="0">
      <text>
        <t>0 — низкий удар; 3 — сильный удар по системе управления.</t>
      </text>
    </comment>
    <comment ref="G3" authorId="0" shapeId="0">
      <text>
        <t>Факт, источник или наблюдение. Без факта оценка превращается в мнение.</t>
      </text>
    </comment>
    <comment ref="H3" authorId="0" shapeId="0">
      <text>
        <t>Что нужно сделать, чтобы перейти в новый режим CLM.</t>
      </text>
    </comment>
    <comment ref="I3" authorId="0" shapeId="0">
      <text>
        <t>Автоматический риск перехода. Не заполнять вручную.</t>
      </text>
    </comment>
    <comment ref="J3" authorId="0" shapeId="0">
      <text>
        <t>Автоматический статус.</t>
      </text>
    </comment>
    <comment ref="K3" authorId="0" shapeId="0">
      <text>
        <t>Дополнительный комментарий консультанта.</t>
      </text>
    </comment>
    <comment ref="D4" authorId="0" shapeId="0">
      <text>
        <t>Оценивайте режим управления, а не характер руководителя.</t>
      </text>
    </comment>
    <comment ref="H4" authorId="0" shapeId="0">
      <text>
        <t>Действие должно менять систему: право решения, ритм, данные, мандат или доверие.</t>
      </text>
    </comment>
    <comment ref="D5" authorId="0" shapeId="0">
      <text>
        <t>Оценивайте режим управления, а не характер руководителя.</t>
      </text>
    </comment>
    <comment ref="H5" authorId="0" shapeId="0">
      <text>
        <t>Действие должно менять систему: право решения, ритм, данные, мандат или доверие.</t>
      </text>
    </comment>
    <comment ref="D6" authorId="0" shapeId="0">
      <text>
        <t>Оценивайте режим управления, а не характер руководителя.</t>
      </text>
    </comment>
    <comment ref="H6" authorId="0" shapeId="0">
      <text>
        <t>Действие должно менять систему: право решения, ритм, данные, мандат или доверие.</t>
      </text>
    </comment>
    <comment ref="D7" authorId="0" shapeId="0">
      <text>
        <t>Оценивайте режим управления, а не характер руководителя.</t>
      </text>
    </comment>
    <comment ref="H7" authorId="0" shapeId="0">
      <text>
        <t>Действие должно менять систему: право решения, ритм, данные, мандат или доверие.</t>
      </text>
    </comment>
    <comment ref="D8" authorId="0" shapeId="0">
      <text>
        <t>Оценивайте режим управления, а не характер руководителя.</t>
      </text>
    </comment>
    <comment ref="H8" authorId="0" shapeId="0">
      <text>
        <t>Действие должно менять систему: право решения, ритм, данные, мандат или доверие.</t>
      </text>
    </comment>
    <comment ref="D9" authorId="0" shapeId="0">
      <text>
        <t>Оценивайте режим управления, а не характер руководителя.</t>
      </text>
    </comment>
    <comment ref="H9" authorId="0" shapeId="0">
      <text>
        <t>Действие должно менять систему: право решения, ритм, данные, мандат или доверие.</t>
      </text>
    </comment>
    <comment ref="D10" authorId="0" shapeId="0">
      <text>
        <t>Оценивайте режим управления, а не характер руководителя.</t>
      </text>
    </comment>
    <comment ref="H10" authorId="0" shapeId="0">
      <text>
        <t>Действие должно менять систему: право решения, ритм, данные, мандат или доверие.</t>
      </text>
    </comment>
  </commentList>
</comments>
</file>

<file path=xl/comments/comment4.xml><?xml version="1.0" encoding="utf-8"?>
<comments xmlns="http://schemas.openxmlformats.org/spreadsheetml/2006/main">
  <authors>
    <author>CLM</author>
  </authors>
  <commentList>
    <comment ref="D3" authorId="0" shapeId="0">
      <text>
        <t>1 — право решения реально передано; 0 — решение возвращается наверх.</t>
      </text>
    </comment>
    <comment ref="E3" authorId="0" shapeId="0">
      <text>
        <t>1 — есть закрепленная метрика; 0 — нет понятного измерителя результата.</t>
      </text>
    </comment>
    <comment ref="F3" authorId="0" shapeId="0">
      <text>
        <t>1 — есть регулярный ритм контроля; 0 — контроль ручной или случайный.</t>
      </text>
    </comment>
    <comment ref="G3" authorId="0" shapeId="0">
      <text>
        <t>0 — доверия нет; 3 — доверие подтверждено практикой и данными.</t>
      </text>
    </comment>
    <comment ref="H3" authorId="0" shapeId="0">
      <text>
        <t>Факт, источник или короткий комментарий.</t>
      </text>
    </comment>
    <comment ref="I3" authorId="0" shapeId="0">
      <text>
        <t>Автоматическая степень делегирования. Не заполнять вручную.</t>
      </text>
    </comment>
    <comment ref="J3" authorId="0" shapeId="0">
      <text>
        <t>Автоматический статус.</t>
      </text>
    </comment>
    <comment ref="D4" authorId="0" shapeId="0">
      <text>
        <t>Мандат — это не задача. Это право решения в заданных границах.</t>
      </text>
    </comment>
    <comment ref="H4" authorId="0" shapeId="0">
      <text>
        <t>Укажите, чем подтверждается передача мандата: протокол, KPI / показатель, ритм или практика.</t>
      </text>
    </comment>
    <comment ref="D5" authorId="0" shapeId="0">
      <text>
        <t>Мандат — это не задача. Это право решения в заданных границах.</t>
      </text>
    </comment>
    <comment ref="H5" authorId="0" shapeId="0">
      <text>
        <t>Укажите, чем подтверждается передача мандата: протокол, KPI / показатель, ритм или практика.</t>
      </text>
    </comment>
    <comment ref="D6" authorId="0" shapeId="0">
      <text>
        <t>Мандат — это не задача. Это право решения в заданных границах.</t>
      </text>
    </comment>
    <comment ref="H6" authorId="0" shapeId="0">
      <text>
        <t>Укажите, чем подтверждается передача мандата: протокол, KPI / показатель, ритм или практика.</t>
      </text>
    </comment>
    <comment ref="D7" authorId="0" shapeId="0">
      <text>
        <t>Мандат — это не задача. Это право решения в заданных границах.</t>
      </text>
    </comment>
    <comment ref="H7" authorId="0" shapeId="0">
      <text>
        <t>Укажите, чем подтверждается передача мандата: протокол, KPI / показатель, ритм или практика.</t>
      </text>
    </comment>
    <comment ref="D8" authorId="0" shapeId="0">
      <text>
        <t>Мандат — это не задача. Это право решения в заданных границах.</t>
      </text>
    </comment>
    <comment ref="H8" authorId="0" shapeId="0">
      <text>
        <t>Укажите, чем подтверждается передача мандата: протокол, KPI / показатель, ритм или практика.</t>
      </text>
    </comment>
    <comment ref="D9" authorId="0" shapeId="0">
      <text>
        <t>Мандат — это не задача. Это право решения в заданных границах.</t>
      </text>
    </comment>
    <comment ref="H9" authorId="0" shapeId="0">
      <text>
        <t>Укажите, чем подтверждается передача мандата: протокол, KPI / показатель, ритм или практика.</t>
      </text>
    </comment>
    <comment ref="D10" authorId="0" shapeId="0">
      <text>
        <t>Мандат — это не задача. Это право решения в заданных границах.</t>
      </text>
    </comment>
    <comment ref="H10" authorId="0" shapeId="0">
      <text>
        <t>Укажите, чем подтверждается передача мандата: протокол, KPI / показатель, ритм или практика.</t>
      </text>
    </comment>
    <comment ref="D11" authorId="0" shapeId="0">
      <text>
        <t>Мандат — это не задача. Это право решения в заданных границах.</t>
      </text>
    </comment>
    <comment ref="H11" authorId="0" shapeId="0">
      <text>
        <t>Укажите, чем подтверждается передача мандата: протокол, KPI / показатель, ритм или практика.</t>
      </text>
    </comment>
    <comment ref="D12" authorId="0" shapeId="0">
      <text>
        <t>Мандат — это не задача. Это право решения в заданных границах.</t>
      </text>
    </comment>
    <comment ref="H12" authorId="0" shapeId="0">
      <text>
        <t>Укажите, чем подтверждается передача мандата: протокол, KPI / показатель, ритм или практика.</t>
      </text>
    </comment>
    <comment ref="D13" authorId="0" shapeId="0">
      <text>
        <t>Мандат — это не задача. Это право решения в заданных границах.</t>
      </text>
    </comment>
    <comment ref="H13" authorId="0" shapeId="0">
      <text>
        <t>Укажите, чем подтверждается передача мандата: протокол, KPI / показатель, ритм или практика.</t>
      </text>
    </comment>
  </commentList>
</comments>
</file>

<file path=xl/comments/comment5.xml><?xml version="1.0" encoding="utf-8"?>
<comments xmlns="http://schemas.openxmlformats.org/spreadsheetml/2006/main">
  <authors>
    <author>CLM</author>
  </authors>
  <commentList>
    <comment ref="B4" authorId="0" shapeId="0">
      <text>
        <t>Расчетная ячейка. Не заполнять вручную.</t>
      </text>
    </comment>
    <comment ref="B5" authorId="0" shapeId="0">
      <text>
        <t>Расчетная ячейка. Не заполнять вручную.</t>
      </text>
    </comment>
    <comment ref="B6" authorId="0" shapeId="0">
      <text>
        <t>Расчетная ячейка. Не заполнять вручную.</t>
      </text>
    </comment>
    <comment ref="B7" authorId="0" shapeId="0">
      <text>
        <t>Расчетная ячейка. Не заполнять вручную.</t>
      </text>
    </comment>
    <comment ref="B8" authorId="0" shapeId="0">
      <text>
        <t>Расчетная ячейка. Не заполнять вручную.</t>
      </text>
    </comment>
    <comment ref="B9" authorId="0" shapeId="0">
      <text>
        <t>Расчетная ячейка. Не заполнять вручную.</t>
      </text>
    </comment>
    <comment ref="B10" authorId="0" shapeId="0">
      <text>
        <t>Расчетная ячейка. Не заполнять вручную.</t>
      </text>
    </comment>
    <comment ref="B11" authorId="0" shapeId="0">
      <text>
        <t>Расчетная ячейка. Не заполнять вручную.</t>
      </text>
    </comment>
    <comment ref="B12" authorId="0" shapeId="0">
      <text>
        <t>Расчетная ячейка. Не заполнять вручную.</t>
      </text>
    </comment>
    <comment ref="B13" authorId="0" shapeId="0">
      <text>
        <t>Расчетная ячейка. Не заполнять вручную.</t>
      </text>
    </comment>
    <comment ref="B14" authorId="0" shapeId="0">
      <text>
        <t>Расчетная ячейка. Не заполнять вручную.</t>
      </text>
    </comment>
  </commentList>
</comments>
</file>

<file path=xl/comments/comment6.xml><?xml version="1.0" encoding="utf-8"?>
<comments xmlns="http://schemas.openxmlformats.org/spreadsheetml/2006/main">
  <authors>
    <author>CLM</author>
  </authors>
  <commentList>
    <comment ref="B8" authorId="0" shapeId="0">
      <text>
        <t>Выберите следующий блок по главной причине риска. Чаще всего после Блока 8 — Блок 9.</t>
      </text>
    </comment>
    <comment ref="B10" authorId="0" shapeId="0">
      <text>
        <t>Первое действие должно снизить ручной контроль или передать конкретный мандат.</t>
      </text>
    </comment>
  </commentList>
</comments>
</file>

<file path=xl/comments/comment7.xml><?xml version="1.0" encoding="utf-8"?>
<comments xmlns="http://schemas.openxmlformats.org/spreadsheetml/2006/main">
  <authors>
    <author>CLM</author>
  </authors>
  <commentList>
    <comment ref="A1" authorId="0" shapeId="0">
      <text>
        <t>Справочные лидерские сдвиги Блока 8.</t>
      </text>
    </comment>
    <comment ref="E1" authorId="0" shapeId="0">
      <text>
        <t>Шкала оценок и статусов.</t>
      </text>
    </comment>
    <comment ref="I1" authorId="0" shapeId="0">
      <text>
        <t>Следующий блок выбирается после расчета и управленческого вывода.</t>
      </text>
    </comment>
  </commentList>
</comment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38" customWidth="1" style="1" min="1" max="1"/>
    <col width="24" customWidth="1" style="1" min="2" max="2"/>
    <col width="24" customWidth="1" style="1" min="3" max="3"/>
    <col width="54" customWidth="1" style="1" min="4" max="4"/>
    <col width="10" customWidth="1" style="1" min="5" max="5"/>
    <col width="10" customWidth="1" style="1" min="6" max="6"/>
    <col width="10" customWidth="1" style="1" min="7" max="7"/>
    <col width="10" customWidth="1" style="1" min="8" max="8"/>
  </cols>
  <sheetData>
    <row r="1">
      <c r="A1" s="16" t="inlineStr">
        <is>
          <t>CLM Блок 8. Панель лидерского перехода</t>
        </is>
      </c>
    </row>
    <row r="2">
      <c r="A2" s="17" t="n"/>
      <c r="B2" s="17" t="n"/>
      <c r="C2" s="17" t="n"/>
      <c r="D2" s="17" t="n"/>
      <c r="E2" s="17" t="n"/>
      <c r="F2" s="17" t="n"/>
      <c r="G2" s="17" t="n"/>
      <c r="H2" s="17" t="n"/>
    </row>
    <row r="3">
      <c r="A3" s="18" t="inlineStr">
        <is>
          <t>Показатель</t>
        </is>
      </c>
      <c r="B3" s="18" t="inlineStr">
        <is>
          <t>Значение</t>
        </is>
      </c>
      <c r="C3" s="18" t="inlineStr">
        <is>
          <t>Норма</t>
        </is>
      </c>
      <c r="D3" s="18" t="inlineStr">
        <is>
          <t>Комментарий</t>
        </is>
      </c>
      <c r="E3" s="17" t="n"/>
      <c r="F3" s="17" t="n"/>
      <c r="G3" s="17" t="n"/>
      <c r="H3" s="17" t="n"/>
    </row>
    <row r="4">
      <c r="A4" s="19" t="inlineStr">
        <is>
          <t>Клиент</t>
        </is>
      </c>
      <c r="B4" s="19">
        <f>IF('01_Ввод'!B4="","",'01_Ввод'!B4)</f>
        <v/>
      </c>
      <c r="C4" s="19" t="str"/>
      <c r="D4" s="19" t="str"/>
      <c r="E4" s="17" t="n"/>
      <c r="F4" s="17" t="n"/>
      <c r="G4" s="17" t="n"/>
      <c r="H4" s="17" t="n"/>
    </row>
    <row r="5">
      <c r="A5" s="19" t="inlineStr">
        <is>
          <t>Заполненность карты перехода</t>
        </is>
      </c>
      <c r="B5" s="20">
        <f>'04_Расчет'!B4</f>
        <v/>
      </c>
      <c r="C5" s="19" t="inlineStr">
        <is>
          <t>80%+</t>
        </is>
      </c>
      <c r="D5" s="19" t="str"/>
      <c r="E5" s="17" t="n"/>
      <c r="F5" s="17" t="n"/>
      <c r="G5" s="17" t="n"/>
      <c r="H5" s="17" t="n"/>
    </row>
    <row r="6">
      <c r="A6" s="19" t="inlineStr">
        <is>
          <t>Доля делегированных мандатов</t>
        </is>
      </c>
      <c r="B6" s="20">
        <f>'04_Расчет'!B8</f>
        <v/>
      </c>
      <c r="C6" s="19" t="inlineStr">
        <is>
          <t>75%+</t>
        </is>
      </c>
      <c r="D6" s="19" t="str"/>
      <c r="E6" s="17" t="n"/>
      <c r="F6" s="17" t="n"/>
      <c r="G6" s="17" t="n"/>
      <c r="H6" s="17" t="n"/>
    </row>
    <row r="7">
      <c r="A7" s="19" t="inlineStr">
        <is>
          <t>Критичные зоны</t>
        </is>
      </c>
      <c r="B7" s="19">
        <f>IF('04_Расчет'!B10="","Нет данных",'04_Расчет'!B6+'04_Расчет'!B9)</f>
        <v/>
      </c>
      <c r="C7" s="19" t="inlineStr">
        <is>
          <t>0</t>
        </is>
      </c>
      <c r="D7" s="19" t="str"/>
      <c r="E7" s="17" t="n"/>
      <c r="F7" s="17" t="n"/>
      <c r="G7" s="17" t="n"/>
      <c r="H7" s="17" t="n"/>
    </row>
    <row r="8">
      <c r="A8" s="19" t="inlineStr">
        <is>
          <t>LTI / индекс лидерского перехода</t>
        </is>
      </c>
      <c r="B8" s="21">
        <f>'04_Расчет'!B10</f>
        <v/>
      </c>
      <c r="C8" s="19" t="inlineStr">
        <is>
          <t>75+</t>
        </is>
      </c>
      <c r="D8" s="19" t="str"/>
      <c r="E8" s="17" t="n"/>
      <c r="F8" s="17" t="n"/>
      <c r="G8" s="17" t="n"/>
      <c r="H8" s="17" t="n"/>
    </row>
    <row r="9">
      <c r="A9" s="19" t="inlineStr">
        <is>
          <t>Статус</t>
        </is>
      </c>
      <c r="B9" s="19">
        <f>'04_Расчет'!B11</f>
        <v/>
      </c>
      <c r="C9" s="19" t="inlineStr">
        <is>
          <t>GO / HOLD / NO-GO</t>
        </is>
      </c>
      <c r="D9" s="19" t="str"/>
      <c r="E9" s="17" t="n"/>
      <c r="F9" s="17" t="n"/>
      <c r="G9" s="17" t="n"/>
      <c r="H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</row>
    <row r="11">
      <c r="A11" s="22" t="inlineStr">
        <is>
          <t>Контроль заполнения</t>
        </is>
      </c>
      <c r="E11" s="17" t="n"/>
      <c r="F11" s="23" t="inlineStr">
        <is>
          <t>Что проверяет Блок 8</t>
        </is>
      </c>
    </row>
    <row r="12">
      <c r="A12" s="24" t="inlineStr">
        <is>
          <t>Слой</t>
        </is>
      </c>
      <c r="B12" s="24" t="inlineStr">
        <is>
          <t>Заполненность / число</t>
        </is>
      </c>
      <c r="C12" s="24" t="inlineStr">
        <is>
          <t>Норма</t>
        </is>
      </c>
      <c r="D12" s="24" t="inlineStr">
        <is>
          <t>Комментарий</t>
        </is>
      </c>
      <c r="E12" s="17" t="n"/>
      <c r="F12" s="25" t="inlineStr">
        <is>
          <t>Блок 8 проверяет не личность CEO, а режим управления: где система зависит от ручного контроля первого лица.</t>
        </is>
      </c>
      <c r="G12" s="31" t="n"/>
      <c r="H12" s="32" t="n"/>
    </row>
    <row r="13">
      <c r="A13" s="19" t="inlineStr">
        <is>
          <t>Карта перехода</t>
        </is>
      </c>
      <c r="B13" s="20">
        <f>'04_Расчет'!B4</f>
        <v/>
      </c>
      <c r="C13" s="19" t="inlineStr">
        <is>
          <t>80%+</t>
        </is>
      </c>
      <c r="D13" s="19" t="str"/>
      <c r="E13" s="17" t="n"/>
      <c r="F13" s="25" t="inlineStr">
        <is>
          <t>Главная логика: старый режим → лидерский сдвиг → передача мандатов → снижение риска отката.</t>
        </is>
      </c>
      <c r="G13" s="31" t="n"/>
      <c r="H13" s="32" t="n"/>
    </row>
    <row r="14">
      <c r="A14" s="19" t="inlineStr">
        <is>
          <t>Карта мандатов</t>
        </is>
      </c>
      <c r="B14" s="20">
        <f>'04_Расчет'!B7</f>
        <v/>
      </c>
      <c r="C14" s="19" t="inlineStr">
        <is>
          <t>80%+</t>
        </is>
      </c>
      <c r="D14" s="19" t="str"/>
      <c r="E14" s="17" t="n"/>
      <c r="F14" s="25" t="inlineStr">
        <is>
          <t>Если решения, данные и мандаты формализованы, вывод можно передавать в Блок 9 для AI / ИИ-контура.</t>
        </is>
      </c>
      <c r="G14" s="31" t="n"/>
      <c r="H14" s="32" t="n"/>
    </row>
    <row r="15">
      <c r="A15" s="19" t="inlineStr">
        <is>
          <t>Критичные зоны</t>
        </is>
      </c>
      <c r="B15" s="19">
        <f>IF('04_Расчет'!B10="","Нет данных",'04_Расчет'!B6+'04_Расчет'!B9)</f>
        <v/>
      </c>
      <c r="C15" s="19" t="inlineStr">
        <is>
          <t>0</t>
        </is>
      </c>
      <c r="D15" s="19" t="str"/>
      <c r="E15" s="17" t="n"/>
      <c r="F15" s="17" t="n"/>
      <c r="G15" s="17" t="n"/>
      <c r="H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</row>
    <row r="17">
      <c r="A17" s="28" t="inlineStr">
        <is>
          <t>Как пользоваться</t>
        </is>
      </c>
    </row>
    <row r="18">
      <c r="A18" s="19" t="inlineStr">
        <is>
          <t>1. Заполните 01_Ввод: входы из Блоков 3–7 и место зависимости от CEO.</t>
        </is>
      </c>
      <c r="B18" s="19" t="str"/>
      <c r="C18" s="19" t="str"/>
      <c r="D18" s="19" t="str"/>
      <c r="E18" s="19" t="str"/>
      <c r="F18" s="19" t="str"/>
      <c r="G18" s="19" t="str"/>
      <c r="H18" s="19" t="str"/>
    </row>
    <row r="19">
      <c r="A19" s="19" t="inlineStr">
        <is>
          <t>2. На 02_Переход оцените лидерские сдвиги: зрелость, зависимость от лидера, удар по системе.</t>
        </is>
      </c>
      <c r="B19" s="19" t="str"/>
      <c r="C19" s="19" t="str"/>
      <c r="D19" s="19" t="str"/>
      <c r="E19" s="19" t="str"/>
      <c r="F19" s="19" t="str"/>
      <c r="G19" s="19" t="str"/>
      <c r="H19" s="19" t="str"/>
    </row>
    <row r="20">
      <c r="A20" s="19" t="inlineStr">
        <is>
          <t>3. На 03_Мандаты проверьте не задачи, а права решений, метрики, ритм и доверие.</t>
        </is>
      </c>
      <c r="B20" s="19" t="str"/>
      <c r="C20" s="19" t="str"/>
      <c r="D20" s="19" t="str"/>
      <c r="E20" s="19" t="str"/>
      <c r="F20" s="19" t="str"/>
      <c r="G20" s="19" t="str"/>
      <c r="H20" s="19" t="str"/>
    </row>
    <row r="21">
      <c r="A21" s="19" t="inlineStr">
        <is>
          <t>4. 04_Расчет не заполняется вручную.</t>
        </is>
      </c>
      <c r="B21" s="19" t="str"/>
      <c r="C21" s="19" t="str"/>
      <c r="D21" s="19" t="str"/>
      <c r="E21" s="19" t="str"/>
      <c r="F21" s="19" t="str"/>
      <c r="G21" s="19" t="str"/>
      <c r="H21" s="19" t="str"/>
    </row>
    <row r="22">
      <c r="A22" s="19" t="inlineStr">
        <is>
          <t>5. На 05_Отчет выберите следующий блок: чаще всего Блок 9, если AI / ИИ можно подключать к формализованным решениям.</t>
        </is>
      </c>
      <c r="B22" s="19" t="str"/>
      <c r="C22" s="19" t="str"/>
      <c r="D22" s="19" t="str"/>
      <c r="E22" s="19" t="str"/>
      <c r="F22" s="19" t="str"/>
      <c r="G22" s="19" t="str"/>
      <c r="H22" s="19" t="str"/>
    </row>
  </sheetData>
  <mergeCells count="7">
    <mergeCell ref="F14:H14"/>
    <mergeCell ref="A11:D11"/>
    <mergeCell ref="F13:H13"/>
    <mergeCell ref="F12:H12"/>
    <mergeCell ref="A1:H1"/>
    <mergeCell ref="F11:H11"/>
    <mergeCell ref="A17:H17"/>
  </mergeCells>
  <pageMargins left="0.7" right="0.7" top="0.75" bottom="0.75" header="0.3" footer="0.3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38" customWidth="1" style="1" min="1" max="1"/>
    <col width="92" customWidth="1" style="1" min="2" max="2"/>
    <col width="12" customWidth="1" style="1" min="3" max="3"/>
    <col width="12" customWidth="1" style="1" min="4" max="4"/>
    <col width="12" customWidth="1" style="1" min="5" max="5"/>
    <col width="12" customWidth="1" style="1" min="6" max="6"/>
    <col width="12" customWidth="1" style="1" min="7" max="7"/>
    <col width="12" customWidth="1" style="1" min="8" max="8"/>
  </cols>
  <sheetData>
    <row r="1">
      <c r="A1" s="16" t="inlineStr">
        <is>
          <t>CLM Блок 8. Ввод лидерского перехода</t>
        </is>
      </c>
    </row>
    <row r="2">
      <c r="A2" s="17" t="n"/>
      <c r="B2" s="17" t="n"/>
      <c r="C2" s="17" t="n"/>
      <c r="D2" s="17" t="n"/>
      <c r="E2" s="17" t="n"/>
      <c r="F2" s="17" t="n"/>
      <c r="G2" s="17" t="n"/>
      <c r="H2" s="17" t="n"/>
    </row>
    <row r="3">
      <c r="A3" s="18" t="inlineStr">
        <is>
          <t>Поле</t>
        </is>
      </c>
      <c r="B3" s="18" t="inlineStr">
        <is>
          <t>Значение</t>
        </is>
      </c>
      <c r="C3" s="17" t="n"/>
      <c r="D3" s="17" t="n"/>
      <c r="E3" s="17" t="n"/>
      <c r="F3" s="17" t="n"/>
      <c r="G3" s="17" t="n"/>
      <c r="H3" s="17" t="n"/>
    </row>
    <row r="4">
      <c r="A4" s="19" t="inlineStr">
        <is>
          <t>Клиент</t>
        </is>
      </c>
      <c r="B4" s="29" t="str"/>
      <c r="C4" s="17" t="n"/>
      <c r="D4" s="17" t="n"/>
      <c r="E4" s="17" t="n"/>
      <c r="F4" s="17" t="n"/>
      <c r="G4" s="17" t="n"/>
      <c r="H4" s="17" t="n"/>
    </row>
    <row r="5">
      <c r="A5" s="19" t="inlineStr">
        <is>
          <t>Дата запуска</t>
        </is>
      </c>
      <c r="B5" s="30" t="str"/>
      <c r="C5" s="17" t="n"/>
      <c r="D5" s="17" t="n"/>
      <c r="E5" s="17" t="n"/>
      <c r="F5" s="17" t="n"/>
      <c r="G5" s="17" t="n"/>
      <c r="H5" s="17" t="n"/>
    </row>
    <row r="6">
      <c r="A6" s="19" t="inlineStr">
        <is>
          <t>Главный разрыв из Блока 3</t>
        </is>
      </c>
      <c r="B6" s="29" t="str"/>
      <c r="C6" s="17" t="n"/>
      <c r="D6" s="17" t="n"/>
      <c r="E6" s="17" t="n"/>
      <c r="F6" s="17" t="n"/>
      <c r="G6" s="17" t="n"/>
      <c r="H6" s="17" t="n"/>
    </row>
    <row r="7">
      <c r="A7" s="19" t="inlineStr">
        <is>
          <t>Риск роли из Блока 4</t>
        </is>
      </c>
      <c r="B7" s="29" t="str"/>
      <c r="C7" s="17" t="n"/>
      <c r="D7" s="17" t="n"/>
      <c r="E7" s="17" t="n"/>
      <c r="F7" s="17" t="n"/>
      <c r="G7" s="17" t="n"/>
      <c r="H7" s="17" t="n"/>
    </row>
    <row r="8">
      <c r="A8" s="19" t="inlineStr">
        <is>
          <t>Сбой Decision OS / системы решений из Блока 5</t>
        </is>
      </c>
      <c r="B8" s="29" t="str"/>
      <c r="C8" s="17" t="n"/>
      <c r="D8" s="17" t="n"/>
      <c r="E8" s="17" t="n"/>
      <c r="F8" s="17" t="n"/>
      <c r="G8" s="17" t="n"/>
      <c r="H8" s="17" t="n"/>
    </row>
    <row r="9">
      <c r="A9" s="19" t="inlineStr">
        <is>
          <t>Сбой синхронизации из Блока 6</t>
        </is>
      </c>
      <c r="B9" s="29" t="str"/>
      <c r="C9" s="17" t="n"/>
      <c r="D9" s="17" t="n"/>
      <c r="E9" s="17" t="n"/>
      <c r="F9" s="17" t="n"/>
      <c r="G9" s="17" t="n"/>
      <c r="H9" s="17" t="n"/>
    </row>
    <row r="10">
      <c r="A10" s="19" t="inlineStr">
        <is>
          <t>Риск устойчивости из Блока 7</t>
        </is>
      </c>
      <c r="B10" s="29" t="str"/>
      <c r="C10" s="17" t="n"/>
      <c r="D10" s="17" t="n"/>
      <c r="E10" s="17" t="n"/>
      <c r="F10" s="17" t="n"/>
      <c r="G10" s="17" t="n"/>
      <c r="H10" s="17" t="n"/>
    </row>
    <row r="11">
      <c r="A11" s="19" t="inlineStr">
        <is>
          <t>Где система держится на CEO</t>
        </is>
      </c>
      <c r="B11" s="29" t="str"/>
      <c r="C11" s="17" t="n"/>
      <c r="D11" s="17" t="n"/>
      <c r="E11" s="17" t="n"/>
      <c r="F11" s="17" t="n"/>
      <c r="G11" s="17" t="n"/>
      <c r="H11" s="17" t="n"/>
    </row>
    <row r="12">
      <c r="A12" s="19" t="inlineStr">
        <is>
          <t>Владелец лидерского перехода</t>
        </is>
      </c>
      <c r="B12" s="29" t="str"/>
      <c r="C12" s="17" t="n"/>
      <c r="D12" s="17" t="n"/>
      <c r="E12" s="17" t="n"/>
      <c r="F12" s="17" t="n"/>
      <c r="G12" s="17" t="n"/>
      <c r="H12" s="17" t="n"/>
    </row>
    <row r="13">
      <c r="A13" s="19" t="inlineStr">
        <is>
          <t>Комментарий</t>
        </is>
      </c>
      <c r="B13" s="29" t="str"/>
      <c r="C13" s="17" t="n"/>
      <c r="D13" s="17" t="n"/>
      <c r="E13" s="17" t="n"/>
      <c r="F13" s="17" t="n"/>
      <c r="G13" s="17" t="n"/>
      <c r="H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</row>
    <row r="15">
      <c r="A15" s="22" t="inlineStr">
        <is>
          <t>Правило заполнения</t>
        </is>
      </c>
      <c r="C15" s="17" t="n"/>
      <c r="D15" s="17" t="n"/>
      <c r="E15" s="17" t="n"/>
      <c r="F15" s="17" t="n"/>
      <c r="G15" s="17" t="n"/>
      <c r="H15" s="17" t="n"/>
    </row>
    <row r="16">
      <c r="A16" s="19" t="inlineStr">
        <is>
          <t>1</t>
        </is>
      </c>
      <c r="B16" s="19" t="inlineStr">
        <is>
          <t>Блок 8 не оценивает личность CEO. Проверяется управленческий режим.</t>
        </is>
      </c>
      <c r="C16" s="17" t="n"/>
      <c r="D16" s="17" t="n"/>
      <c r="E16" s="17" t="n"/>
      <c r="F16" s="17" t="n"/>
      <c r="G16" s="17" t="n"/>
      <c r="H16" s="17" t="n"/>
    </row>
    <row r="17">
      <c r="A17" s="19" t="inlineStr">
        <is>
          <t>2</t>
        </is>
      </c>
      <c r="B17" s="19" t="inlineStr">
        <is>
          <t>Сначала фиксируется, где решения возвращаются в ручной контроль.</t>
        </is>
      </c>
      <c r="C17" s="17" t="n"/>
      <c r="D17" s="17" t="n"/>
      <c r="E17" s="17" t="n"/>
      <c r="F17" s="17" t="n"/>
      <c r="G17" s="17" t="n"/>
      <c r="H17" s="17" t="n"/>
    </row>
    <row r="18">
      <c r="A18" s="19" t="inlineStr">
        <is>
          <t>3</t>
        </is>
      </c>
      <c r="B18" s="19" t="inlineStr">
        <is>
          <t>Мандат считается переданным только если есть право решения, метрика и ритм.</t>
        </is>
      </c>
      <c r="C18" s="17" t="n"/>
      <c r="D18" s="17" t="n"/>
      <c r="E18" s="17" t="n"/>
      <c r="F18" s="17" t="n"/>
      <c r="G18" s="17" t="n"/>
      <c r="H18" s="17" t="n"/>
    </row>
    <row r="19">
      <c r="A19" s="19" t="inlineStr">
        <is>
          <t>4</t>
        </is>
      </c>
      <c r="B19" s="19" t="inlineStr">
        <is>
          <t>AI / ИИ передается в Блок 9 только после формализации решений и владельцев.</t>
        </is>
      </c>
      <c r="C19" s="17" t="n"/>
      <c r="D19" s="17" t="n"/>
      <c r="E19" s="17" t="n"/>
      <c r="F19" s="17" t="n"/>
      <c r="G19" s="17" t="n"/>
      <c r="H19" s="17" t="n"/>
    </row>
  </sheetData>
  <mergeCells count="2">
    <mergeCell ref="A15:B15"/>
    <mergeCell ref="A1:H1"/>
  </mergeCells>
  <pageMargins left="0.7" right="0.7" top="0.75" bottom="0.75" header="0.3" footer="0.3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style="1" min="1" max="1"/>
    <col width="34" customWidth="1" style="1" min="2" max="2"/>
    <col width="44" customWidth="1" style="1" min="3" max="3"/>
    <col width="15" customWidth="1" style="1" min="4" max="4"/>
    <col width="16" customWidth="1" style="1" min="5" max="5"/>
    <col width="13" customWidth="1" style="1" min="6" max="6"/>
    <col width="32" customWidth="1" style="1" min="7" max="7"/>
    <col width="34" customWidth="1" style="1" min="8" max="8"/>
    <col width="11" customWidth="1" style="1" min="9" max="9"/>
    <col width="14" customWidth="1" style="1" min="10" max="10"/>
    <col width="34" customWidth="1" style="1" min="11" max="11"/>
  </cols>
  <sheetData>
    <row r="1">
      <c r="A1" s="16" t="inlineStr">
        <is>
          <t>Карта лидерского перехода</t>
        </is>
      </c>
    </row>
    <row r="2">
      <c r="A2" s="17" t="n"/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</row>
    <row r="3">
      <c r="A3" s="18" t="inlineStr">
        <is>
          <t>Сдвиг</t>
        </is>
      </c>
      <c r="B3" s="18" t="inlineStr">
        <is>
          <t>Старый режим</t>
        </is>
      </c>
      <c r="C3" s="18" t="inlineStr">
        <is>
          <t>Новый режим CLM</t>
        </is>
      </c>
      <c r="D3" s="18" t="inlineStr">
        <is>
          <t>Текущая зрелость 0-3</t>
        </is>
      </c>
      <c r="E3" s="18" t="inlineStr">
        <is>
          <t>Зависимость от лидера 0-3</t>
        </is>
      </c>
      <c r="F3" s="18" t="inlineStr">
        <is>
          <t>Удар по системе 0-3</t>
        </is>
      </c>
      <c r="G3" s="18" t="inlineStr">
        <is>
          <t>Факт / источник</t>
        </is>
      </c>
      <c r="H3" s="18" t="inlineStr">
        <is>
          <t>Действие перехода</t>
        </is>
      </c>
      <c r="I3" s="18" t="inlineStr">
        <is>
          <t>Балл риска</t>
        </is>
      </c>
      <c r="J3" s="18" t="inlineStr">
        <is>
          <t>Статус</t>
        </is>
      </c>
      <c r="K3" s="18" t="inlineStr">
        <is>
          <t>Комментарий</t>
        </is>
      </c>
    </row>
    <row r="4">
      <c r="A4" s="19" t="inlineStr">
        <is>
          <t>От героя к архитектору</t>
        </is>
      </c>
      <c r="B4" s="19" t="inlineStr">
        <is>
          <t>Лидер лично спасает систему</t>
        </is>
      </c>
      <c r="C4" s="19" t="inlineStr">
        <is>
          <t>Лидер строит систему, которая работает без героизма</t>
        </is>
      </c>
      <c r="D4" s="29" t="str"/>
      <c r="E4" s="29" t="str"/>
      <c r="F4" s="29" t="str"/>
      <c r="G4" s="29" t="str"/>
      <c r="H4" s="29" t="str"/>
      <c r="I4" s="19">
        <f>IF(COUNTA(D4:F4)&lt;3,"",ROUND(((3-D4)+E4+F4)/3,1))</f>
        <v/>
      </c>
      <c r="J4" s="19">
        <f>IF(I4="","Не заполнено",IF(I4&gt;=2.3,"Критично",IF(I4&gt;=1.5,"Разрыв","ОК")))</f>
        <v/>
      </c>
      <c r="K4" s="29" t="str"/>
    </row>
    <row r="5">
      <c r="A5" s="19" t="inlineStr">
        <is>
          <t>От контроля к мандатам</t>
        </is>
      </c>
      <c r="B5" s="19" t="inlineStr">
        <is>
          <t>Контроль задач и согласований</t>
        </is>
      </c>
      <c r="C5" s="19" t="inlineStr">
        <is>
          <t>Передача права решения, ответственности и метрики</t>
        </is>
      </c>
      <c r="D5" s="29" t="str"/>
      <c r="E5" s="29" t="str"/>
      <c r="F5" s="29" t="str"/>
      <c r="G5" s="29" t="str"/>
      <c r="H5" s="29" t="str"/>
      <c r="I5" s="19">
        <f>IF(COUNTA(D5:F5)&lt;3,"",ROUND(((3-D5)+E5+F5)/3,1))</f>
        <v/>
      </c>
      <c r="J5" s="19">
        <f>IF(I5="","Не заполнено",IF(I5&gt;=2.3,"Критично",IF(I5&gt;=1.5,"Разрыв","ОК")))</f>
        <v/>
      </c>
      <c r="K5" s="29" t="str"/>
    </row>
    <row r="6">
      <c r="A6" s="19" t="inlineStr">
        <is>
          <t>От личного решения к Decision OS / системе решений</t>
        </is>
      </c>
      <c r="B6" s="19" t="inlineStr">
        <is>
          <t>Решения через личный доступ</t>
        </is>
      </c>
      <c r="C6" s="19" t="inlineStr">
        <is>
          <t>Решения идут через владельца, критерии, данные и разбор</t>
        </is>
      </c>
      <c r="D6" s="29" t="str"/>
      <c r="E6" s="29" t="str"/>
      <c r="F6" s="29" t="str"/>
      <c r="G6" s="29" t="str"/>
      <c r="H6" s="29" t="str"/>
      <c r="I6" s="19">
        <f>IF(COUNTA(D6:F6)&lt;3,"",ROUND(((3-D6)+E6+F6)/3,1))</f>
        <v/>
      </c>
      <c r="J6" s="19">
        <f>IF(I6="","Не заполнено",IF(I6&gt;=2.3,"Критично",IF(I6&gt;=1.5,"Разрыв","ОК")))</f>
        <v/>
      </c>
      <c r="K6" s="29" t="str"/>
    </row>
    <row r="7">
      <c r="A7" s="19" t="inlineStr">
        <is>
          <t>От власти к доверию</t>
        </is>
      </c>
      <c r="B7" s="19" t="inlineStr">
        <is>
          <t>Решение держится на статусе</t>
        </is>
      </c>
      <c r="C7" s="19" t="inlineStr">
        <is>
          <t>Решение держится на прозрачности, фактах и доверии</t>
        </is>
      </c>
      <c r="D7" s="29" t="str"/>
      <c r="E7" s="29" t="str"/>
      <c r="F7" s="29" t="str"/>
      <c r="G7" s="29" t="str"/>
      <c r="H7" s="29" t="str"/>
      <c r="I7" s="19">
        <f>IF(COUNTA(D7:F7)&lt;3,"",ROUND(((3-D7)+E7+F7)/3,1))</f>
        <v/>
      </c>
      <c r="J7" s="19">
        <f>IF(I7="","Не заполнено",IF(I7&gt;=2.3,"Критично",IF(I7&gt;=1.5,"Разрыв","ОК")))</f>
        <v/>
      </c>
      <c r="K7" s="29" t="str"/>
    </row>
    <row r="8">
      <c r="A8" s="19" t="inlineStr">
        <is>
          <t>От функций к развитию C-level</t>
        </is>
      </c>
      <c r="B8" s="19" t="inlineStr">
        <is>
          <t>Функции защищают себя</t>
        </is>
      </c>
      <c r="C8" s="19" t="inlineStr">
        <is>
          <t>Первый круг растет через мандаты и ответственность</t>
        </is>
      </c>
      <c r="D8" s="29" t="str"/>
      <c r="E8" s="29" t="str"/>
      <c r="F8" s="29" t="str"/>
      <c r="G8" s="29" t="str"/>
      <c r="H8" s="29" t="str"/>
      <c r="I8" s="19">
        <f>IF(COUNTA(D8:F8)&lt;3,"",ROUND(((3-D8)+E8+F8)/3,1))</f>
        <v/>
      </c>
      <c r="J8" s="19">
        <f>IF(I8="","Не заполнено",IF(I8&gt;=2.3,"Критично",IF(I8&gt;=1.5,"Разрыв","ОК")))</f>
        <v/>
      </c>
      <c r="K8" s="29" t="str"/>
    </row>
    <row r="9">
      <c r="A9" s="19" t="inlineStr">
        <is>
          <t>От реакции к устойчивости</t>
        </is>
      </c>
      <c r="B9" s="19" t="inlineStr">
        <is>
          <t>Кризис решается вручную</t>
        </is>
      </c>
      <c r="C9" s="19" t="inlineStr">
        <is>
          <t>Резервы и ритмы включаются заранее</t>
        </is>
      </c>
      <c r="D9" s="29" t="str"/>
      <c r="E9" s="29" t="str"/>
      <c r="F9" s="29" t="str"/>
      <c r="G9" s="29" t="str"/>
      <c r="H9" s="29" t="str"/>
      <c r="I9" s="19">
        <f>IF(COUNTA(D9:F9)&lt;3,"",ROUND(((3-D9)+E9+F9)/3,1))</f>
        <v/>
      </c>
      <c r="J9" s="19">
        <f>IF(I9="","Не заполнено",IF(I9&gt;=2.3,"Критично",IF(I9&gt;=1.5,"Разрыв","ОК")))</f>
        <v/>
      </c>
      <c r="K9" s="29" t="str"/>
    </row>
    <row r="10">
      <c r="A10" s="19" t="inlineStr">
        <is>
          <t>От AI / ИИ-пилота к управляемому контуру</t>
        </is>
      </c>
      <c r="B10" s="19" t="inlineStr">
        <is>
          <t>AI / ИИ остается экспериментом</t>
        </is>
      </c>
      <c r="C10" s="19" t="inlineStr">
        <is>
          <t>AI / ИИ получает мандат, данные и контроль допуска</t>
        </is>
      </c>
      <c r="D10" s="29" t="str"/>
      <c r="E10" s="29" t="str"/>
      <c r="F10" s="29" t="str"/>
      <c r="G10" s="29" t="str"/>
      <c r="H10" s="29" t="str"/>
      <c r="I10" s="19">
        <f>IF(COUNTA(D10:F10)&lt;3,"",ROUND(((3-D10)+E10+F10)/3,1))</f>
        <v/>
      </c>
      <c r="J10" s="19">
        <f>IF(I10="","Не заполнено",IF(I10&gt;=2.3,"Критично",IF(I10&gt;=1.5,"Разрыв","ОК")))</f>
        <v/>
      </c>
      <c r="K10" s="29" t="str"/>
    </row>
  </sheetData>
  <mergeCells count="1">
    <mergeCell ref="A1:K1"/>
  </mergeCells>
  <dataValidations count="3">
    <dataValidation sqref="D4:D10" showDropDown="0" showInputMessage="0" showErrorMessage="0" allowBlank="0" type="whole" operator="between">
      <formula1>0</formula1>
      <formula2>3</formula2>
    </dataValidation>
    <dataValidation sqref="E4:E10" showDropDown="0" showInputMessage="0" showErrorMessage="0" allowBlank="0" type="whole" operator="between">
      <formula1>0</formula1>
      <formula2>3</formula2>
    </dataValidation>
    <dataValidation sqref="F4:F10" showDropDown="0" showInputMessage="0" showErrorMessage="0" allowBlank="0" type="whole" operator="between">
      <formula1>0</formula1>
      <formula2>3</formula2>
    </dataValidation>
  </dataValidations>
  <pageMargins left="0.7" right="0.7" top="0.75" bottom="0.75" header="0.3" footer="0.3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style="1" min="1" max="1"/>
    <col width="22" customWidth="1" style="1" min="2" max="2"/>
    <col width="24" customWidth="1" style="1" min="3" max="3"/>
    <col width="18" customWidth="1" style="1" min="4" max="4"/>
    <col width="17" customWidth="1" style="1" min="5" max="5"/>
    <col width="17" customWidth="1" style="1" min="6" max="6"/>
    <col width="16" customWidth="1" style="1" min="7" max="7"/>
    <col width="38" customWidth="1" style="1" min="8" max="8"/>
    <col width="16" customWidth="1" style="1" min="9" max="9"/>
    <col width="14" customWidth="1" style="1" min="10" max="10"/>
  </cols>
  <sheetData>
    <row r="1">
      <c r="A1" s="16" t="inlineStr">
        <is>
          <t>Карта делегирования мандатов</t>
        </is>
      </c>
    </row>
    <row r="2">
      <c r="A2" s="17" t="n"/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</row>
    <row r="3">
      <c r="A3" s="18" t="inlineStr">
        <is>
          <t>Мандат</t>
        </is>
      </c>
      <c r="B3" s="18" t="inlineStr">
        <is>
          <t>Текущий владелец</t>
        </is>
      </c>
      <c r="C3" s="18" t="inlineStr">
        <is>
          <t>Целевой владелец</t>
        </is>
      </c>
      <c r="D3" s="18" t="inlineStr">
        <is>
          <t>Право решения передано 0/1</t>
        </is>
      </c>
      <c r="E3" s="18" t="inlineStr">
        <is>
          <t>Метрика закреплена 0/1</t>
        </is>
      </c>
      <c r="F3" s="18" t="inlineStr">
        <is>
          <t>Ритм контроля есть 0/1</t>
        </is>
      </c>
      <c r="G3" s="18" t="inlineStr">
        <is>
          <t>Доверие к владельцу 0-3</t>
        </is>
      </c>
      <c r="H3" s="18" t="inlineStr">
        <is>
          <t>Комментарий / источник</t>
        </is>
      </c>
      <c r="I3" s="18" t="inlineStr">
        <is>
          <t>Степень делегирования</t>
        </is>
      </c>
      <c r="J3" s="18" t="inlineStr">
        <is>
          <t>Статус</t>
        </is>
      </c>
    </row>
    <row r="4">
      <c r="A4" s="19" t="inlineStr">
        <is>
          <t>Финансовый фильтр решений</t>
        </is>
      </c>
      <c r="B4" s="29" t="inlineStr">
        <is>
          <t>CEO</t>
        </is>
      </c>
      <c r="C4" s="29" t="inlineStr">
        <is>
          <t>CFO</t>
        </is>
      </c>
      <c r="D4" s="29" t="str"/>
      <c r="E4" s="29" t="str"/>
      <c r="F4" s="29" t="str"/>
      <c r="G4" s="29" t="str"/>
      <c r="H4" s="29" t="str"/>
      <c r="I4" s="19">
        <f>IF(COUNTA(D4:G4)&lt;4,"",ROUND((D4+E4+F4+G4/3)/4,2))</f>
        <v/>
      </c>
      <c r="J4" s="19">
        <f>IF(I4="","Не заполнено",IF(I4&lt;0.5,"Критично",IF(I4&lt;0.75,"Разрыв","ОК")))</f>
        <v/>
      </c>
    </row>
    <row r="5">
      <c r="A5" s="19" t="inlineStr">
        <is>
          <t>Операционный ритм исполнения</t>
        </is>
      </c>
      <c r="B5" s="29" t="inlineStr">
        <is>
          <t>CEO</t>
        </is>
      </c>
      <c r="C5" s="29" t="inlineStr">
        <is>
          <t>COO</t>
        </is>
      </c>
      <c r="D5" s="29" t="str"/>
      <c r="E5" s="29" t="str"/>
      <c r="F5" s="29" t="str"/>
      <c r="G5" s="29" t="str"/>
      <c r="H5" s="29" t="str"/>
      <c r="I5" s="19">
        <f>IF(COUNTA(D5:G5)&lt;4,"",ROUND((D5+E5+F5+G5/3)/4,2))</f>
        <v/>
      </c>
      <c r="J5" s="19">
        <f>IF(I5="","Не заполнено",IF(I5&lt;0.5,"Критично",IF(I5&lt;0.75,"Разрыв","ОК")))</f>
        <v/>
      </c>
    </row>
    <row r="6">
      <c r="A6" s="19" t="inlineStr">
        <is>
          <t>Коммерческое согласование продаж и маркетинга</t>
        </is>
      </c>
      <c r="B6" s="29" t="inlineStr">
        <is>
          <t>CEO</t>
        </is>
      </c>
      <c r="C6" s="29" t="inlineStr">
        <is>
          <t>CSO / CMO</t>
        </is>
      </c>
      <c r="D6" s="29" t="str"/>
      <c r="E6" s="29" t="str"/>
      <c r="F6" s="29" t="str"/>
      <c r="G6" s="29" t="str"/>
      <c r="H6" s="29" t="str"/>
      <c r="I6" s="19">
        <f>IF(COUNTA(D6:G6)&lt;4,"",ROUND((D6+E6+F6+G6/3)/4,2))</f>
        <v/>
      </c>
      <c r="J6" s="19">
        <f>IF(I6="","Не заполнено",IF(I6&lt;0.5,"Критично",IF(I6&lt;0.75,"Разрыв","ОК")))</f>
        <v/>
      </c>
    </row>
    <row r="7">
      <c r="A7" s="19" t="inlineStr">
        <is>
          <t>AI / ИИ-мандат</t>
        </is>
      </c>
      <c r="B7" s="29" t="inlineStr">
        <is>
          <t>CEO</t>
        </is>
      </c>
      <c r="C7" s="29" t="inlineStr">
        <is>
          <t>CAIO / CIO</t>
        </is>
      </c>
      <c r="D7" s="29" t="str"/>
      <c r="E7" s="29" t="str"/>
      <c r="F7" s="29" t="str"/>
      <c r="G7" s="29" t="str"/>
      <c r="H7" s="29" t="str"/>
      <c r="I7" s="19">
        <f>IF(COUNTA(D7:G7)&lt;4,"",ROUND((D7+E7+F7+G7/3)/4,2))</f>
        <v/>
      </c>
      <c r="J7" s="19">
        <f>IF(I7="","Не заполнено",IF(I7&lt;0.5,"Критично",IF(I7&lt;0.75,"Разрыв","ОК")))</f>
        <v/>
      </c>
    </row>
    <row r="8">
      <c r="A8" s="19" t="inlineStr">
        <is>
          <t>Доверие и культура C-level</t>
        </is>
      </c>
      <c r="B8" s="29" t="inlineStr">
        <is>
          <t>CEO</t>
        </is>
      </c>
      <c r="C8" s="29" t="inlineStr">
        <is>
          <t>CHRO</t>
        </is>
      </c>
      <c r="D8" s="29" t="str"/>
      <c r="E8" s="29" t="str"/>
      <c r="F8" s="29" t="str"/>
      <c r="G8" s="29" t="str"/>
      <c r="H8" s="29" t="str"/>
      <c r="I8" s="19">
        <f>IF(COUNTA(D8:G8)&lt;4,"",ROUND((D8+E8+F8+G8/3)/4,2))</f>
        <v/>
      </c>
      <c r="J8" s="19">
        <f>IF(I8="","Не заполнено",IF(I8&lt;0.5,"Критично",IF(I8&lt;0.75,"Разрыв","ОК")))</f>
        <v/>
      </c>
    </row>
    <row r="9">
      <c r="A9" s="19" t="inlineStr">
        <is>
          <t>Data / единая версия правды</t>
        </is>
      </c>
      <c r="B9" s="29" t="inlineStr">
        <is>
          <t>CEO</t>
        </is>
      </c>
      <c r="C9" s="29" t="inlineStr">
        <is>
          <t>CIO / CDO</t>
        </is>
      </c>
      <c r="D9" s="29" t="str"/>
      <c r="E9" s="29" t="str"/>
      <c r="F9" s="29" t="str"/>
      <c r="G9" s="29" t="str"/>
      <c r="H9" s="29" t="str"/>
      <c r="I9" s="19">
        <f>IF(COUNTA(D9:G9)&lt;4,"",ROUND((D9+E9+F9+G9/3)/4,2))</f>
        <v/>
      </c>
      <c r="J9" s="19">
        <f>IF(I9="","Не заполнено",IF(I9&lt;0.5,"Критично",IF(I9&lt;0.75,"Разрыв","ОК")))</f>
        <v/>
      </c>
    </row>
    <row r="10">
      <c r="A10" s="19" t="inlineStr">
        <is>
          <t>Ключевые кадровые решения</t>
        </is>
      </c>
      <c r="B10" s="29" t="inlineStr">
        <is>
          <t>CEO</t>
        </is>
      </c>
      <c r="C10" s="29" t="inlineStr">
        <is>
          <t>CHRO</t>
        </is>
      </c>
      <c r="D10" s="29" t="str"/>
      <c r="E10" s="29" t="str"/>
      <c r="F10" s="29" t="str"/>
      <c r="G10" s="29" t="str"/>
      <c r="H10" s="29" t="str"/>
      <c r="I10" s="19">
        <f>IF(COUNTA(D10:G10)&lt;4,"",ROUND((D10+E10+F10+G10/3)/4,2))</f>
        <v/>
      </c>
      <c r="J10" s="19">
        <f>IF(I10="","Не заполнено",IF(I10&lt;0.5,"Критично",IF(I10&lt;0.75,"Разрыв","ОК")))</f>
        <v/>
      </c>
    </row>
    <row r="11">
      <c r="A11" s="19" t="inlineStr">
        <is>
          <t>Продукт и клиентское обещание</t>
        </is>
      </c>
      <c r="B11" s="29" t="inlineStr">
        <is>
          <t>CEO</t>
        </is>
      </c>
      <c r="C11" s="29" t="inlineStr">
        <is>
          <t>CPO / CCO</t>
        </is>
      </c>
      <c r="D11" s="29" t="str"/>
      <c r="E11" s="29" t="str"/>
      <c r="F11" s="29" t="str"/>
      <c r="G11" s="29" t="str"/>
      <c r="H11" s="29" t="str"/>
      <c r="I11" s="19">
        <f>IF(COUNTA(D11:G11)&lt;4,"",ROUND((D11+E11+F11+G11/3)/4,2))</f>
        <v/>
      </c>
      <c r="J11" s="19">
        <f>IF(I11="","Не заполнено",IF(I11&lt;0.5,"Критично",IF(I11&lt;0.75,"Разрыв","ОК")))</f>
        <v/>
      </c>
    </row>
    <row r="12">
      <c r="A12" s="19" t="inlineStr">
        <is>
          <t>Стратегические инвестиции</t>
        </is>
      </c>
      <c r="B12" s="29" t="inlineStr">
        <is>
          <t>CEO</t>
        </is>
      </c>
      <c r="C12" s="29" t="inlineStr">
        <is>
          <t>CEO / CFO / Board</t>
        </is>
      </c>
      <c r="D12" s="29" t="str"/>
      <c r="E12" s="29" t="str"/>
      <c r="F12" s="29" t="str"/>
      <c r="G12" s="29" t="str"/>
      <c r="H12" s="29" t="str"/>
      <c r="I12" s="19">
        <f>IF(COUNTA(D12:G12)&lt;4,"",ROUND((D12+E12+F12+G12/3)/4,2))</f>
        <v/>
      </c>
      <c r="J12" s="19">
        <f>IF(I12="","Не заполнено",IF(I12&lt;0.5,"Критично",IF(I12&lt;0.75,"Разрыв","ОК")))</f>
        <v/>
      </c>
    </row>
    <row r="13">
      <c r="A13" s="19" t="inlineStr">
        <is>
          <t>Кризисная устойчивость</t>
        </is>
      </c>
      <c r="B13" s="29" t="inlineStr">
        <is>
          <t>CEO</t>
        </is>
      </c>
      <c r="C13" s="29" t="inlineStr">
        <is>
          <t>COO / риск-владелец</t>
        </is>
      </c>
      <c r="D13" s="29" t="str"/>
      <c r="E13" s="29" t="str"/>
      <c r="F13" s="29" t="str"/>
      <c r="G13" s="29" t="str"/>
      <c r="H13" s="29" t="str"/>
      <c r="I13" s="19">
        <f>IF(COUNTA(D13:G13)&lt;4,"",ROUND((D13+E13+F13+G13/3)/4,2))</f>
        <v/>
      </c>
      <c r="J13" s="19">
        <f>IF(I13="","Не заполнено",IF(I13&lt;0.5,"Критично",IF(I13&lt;0.75,"Разрыв","ОК")))</f>
        <v/>
      </c>
    </row>
  </sheetData>
  <mergeCells count="1">
    <mergeCell ref="A1:J1"/>
  </mergeCells>
  <dataValidations count="4">
    <dataValidation sqref="D4:D13" showDropDown="0" showInputMessage="0" showErrorMessage="0" allowBlank="0" type="whole" operator="between">
      <formula1>0</formula1>
      <formula2>1</formula2>
    </dataValidation>
    <dataValidation sqref="E4:E13" showDropDown="0" showInputMessage="0" showErrorMessage="0" allowBlank="0" type="whole" operator="between">
      <formula1>0</formula1>
      <formula2>1</formula2>
    </dataValidation>
    <dataValidation sqref="F4:F13" showDropDown="0" showInputMessage="0" showErrorMessage="0" allowBlank="0" type="whole" operator="between">
      <formula1>0</formula1>
      <formula2>1</formula2>
    </dataValidation>
    <dataValidation sqref="G4:G13" showDropDown="0" showInputMessage="0" showErrorMessage="0" allowBlank="0" type="whole" operator="between">
      <formula1>0</formula1>
      <formula2>3</formula2>
    </dataValidation>
  </dataValidations>
  <pageMargins left="0.7" right="0.7" top="0.75" bottom="0.75" header="0.3" footer="0.3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selection activeCell="A1" sqref="A1"/>
    </sheetView>
  </sheetViews>
  <sheetFormatPr baseColWidth="8" defaultRowHeight="15"/>
  <cols>
    <col width="40" customWidth="1" style="1" min="1" max="1"/>
    <col width="24" customWidth="1" style="1" min="2" max="2"/>
    <col width="22" customWidth="1" style="1" min="3" max="3"/>
    <col width="28" customWidth="1" style="1" min="4" max="4"/>
    <col width="50" customWidth="1" style="1" min="5" max="5"/>
  </cols>
  <sheetData>
    <row r="1">
      <c r="A1" s="16" t="inlineStr">
        <is>
          <t>Расчёт лидерского перехода</t>
        </is>
      </c>
      <c r="F1" s="16" t="n"/>
      <c r="G1" s="16" t="n"/>
      <c r="H1" s="16" t="n"/>
      <c r="I1" s="17" t="n"/>
    </row>
    <row r="2">
      <c r="A2" s="17" t="n"/>
      <c r="B2" s="17" t="n"/>
      <c r="C2" s="17" t="n"/>
      <c r="D2" s="17" t="n"/>
      <c r="E2" s="17" t="n"/>
      <c r="F2" s="17" t="n"/>
      <c r="G2" s="17" t="n"/>
      <c r="H2" s="17" t="n"/>
      <c r="I2" s="17" t="n"/>
    </row>
    <row r="3">
      <c r="A3" s="18" t="inlineStr">
        <is>
          <t>Показатель</t>
        </is>
      </c>
      <c r="B3" s="18" t="inlineStr">
        <is>
          <t>Значение</t>
        </is>
      </c>
      <c r="C3" s="18" t="inlineStr">
        <is>
          <t>Норма</t>
        </is>
      </c>
      <c r="D3" s="18" t="inlineStr">
        <is>
          <t>Источник</t>
        </is>
      </c>
      <c r="E3" s="18" t="inlineStr">
        <is>
          <t>Комментарий</t>
        </is>
      </c>
      <c r="F3" s="17" t="n"/>
      <c r="G3" s="23" t="inlineStr">
        <is>
          <t>Как читать расчет</t>
        </is>
      </c>
    </row>
    <row r="4">
      <c r="A4" s="19" t="inlineStr">
        <is>
          <t>Заполненность карты перехода</t>
        </is>
      </c>
      <c r="B4" s="20">
        <f>IFERROR(COUNT('02_Переход'!I4:I10)/7,0)</f>
        <v/>
      </c>
      <c r="C4" s="19" t="inlineStr">
        <is>
          <t>80%+</t>
        </is>
      </c>
      <c r="D4" s="19" t="inlineStr">
        <is>
          <t>02_Переход</t>
        </is>
      </c>
      <c r="E4" s="19" t="str"/>
      <c r="F4" s="17" t="n"/>
      <c r="G4" s="25" t="inlineStr">
        <is>
          <t>LTI / индекс лидерского перехода показывает готовность уйти от ручного контроля к управлению через роли, мандаты, решения и доверие.</t>
        </is>
      </c>
      <c r="H4" s="31" t="n"/>
      <c r="I4" s="32" t="n"/>
    </row>
    <row r="5">
      <c r="A5" s="19" t="inlineStr">
        <is>
          <t>Средний риск перехода</t>
        </is>
      </c>
      <c r="B5" s="19">
        <f>IFERROR(AVERAGE('02_Переход'!I4:I10),"")</f>
        <v/>
      </c>
      <c r="C5" s="19" t="inlineStr">
        <is>
          <t>0-1</t>
        </is>
      </c>
      <c r="D5" s="19" t="inlineStr">
        <is>
          <t>02_Переход</t>
        </is>
      </c>
      <c r="E5" s="19" t="str"/>
      <c r="F5" s="17" t="n"/>
      <c r="G5" s="25" t="inlineStr">
        <is>
          <t>Если есть критичные мандаты, хороший средний LTI не считается достаточным основанием для GO / запускать.</t>
        </is>
      </c>
      <c r="H5" s="31" t="n"/>
      <c r="I5" s="32" t="n"/>
    </row>
    <row r="6">
      <c r="A6" s="19" t="inlineStr">
        <is>
          <t>Критичных сдвигов</t>
        </is>
      </c>
      <c r="B6" s="19">
        <f>COUNTIF('02_Переход'!J4:J10,"Критично")</f>
        <v/>
      </c>
      <c r="C6" s="19" t="inlineStr">
        <is>
          <t>0</t>
        </is>
      </c>
      <c r="D6" s="19" t="inlineStr">
        <is>
          <t>02_Переход</t>
        </is>
      </c>
      <c r="E6" s="19" t="str"/>
      <c r="F6" s="17" t="n"/>
      <c r="G6" s="17" t="n"/>
      <c r="H6" s="17" t="n"/>
      <c r="I6" s="17" t="n"/>
    </row>
    <row r="7">
      <c r="A7" s="19" t="inlineStr">
        <is>
          <t>Заполненность мандатов</t>
        </is>
      </c>
      <c r="B7" s="20">
        <f>IFERROR(COUNT('03_Мандаты'!I4:I13)/10,0)</f>
        <v/>
      </c>
      <c r="C7" s="19" t="inlineStr">
        <is>
          <t>80%+</t>
        </is>
      </c>
      <c r="D7" s="19" t="inlineStr">
        <is>
          <t>03_Мандаты</t>
        </is>
      </c>
      <c r="E7" s="19" t="str"/>
      <c r="F7" s="17" t="n"/>
      <c r="G7" s="17" t="n"/>
      <c r="H7" s="17" t="n"/>
      <c r="I7" s="17" t="n"/>
    </row>
    <row r="8">
      <c r="A8" s="19" t="inlineStr">
        <is>
          <t>Доля делегированных мандатов</t>
        </is>
      </c>
      <c r="B8" s="20">
        <f>IFERROR(AVERAGE('03_Мандаты'!I4:I13),"")</f>
        <v/>
      </c>
      <c r="C8" s="19" t="inlineStr">
        <is>
          <t>75%+</t>
        </is>
      </c>
      <c r="D8" s="19" t="inlineStr">
        <is>
          <t>03_Мандаты</t>
        </is>
      </c>
      <c r="E8" s="19" t="str"/>
      <c r="F8" s="17" t="n"/>
      <c r="G8" s="17" t="n"/>
      <c r="H8" s="17" t="n"/>
      <c r="I8" s="17" t="n"/>
    </row>
    <row r="9">
      <c r="A9" s="19" t="inlineStr">
        <is>
          <t>Критичных мандатов</t>
        </is>
      </c>
      <c r="B9" s="19">
        <f>COUNTIF('03_Мандаты'!J4:J13,"Критично")</f>
        <v/>
      </c>
      <c r="C9" s="19" t="inlineStr">
        <is>
          <t>0</t>
        </is>
      </c>
      <c r="D9" s="19" t="inlineStr">
        <is>
          <t>03_Мандаты</t>
        </is>
      </c>
      <c r="E9" s="19" t="str"/>
      <c r="F9" s="17" t="n"/>
      <c r="G9" s="17" t="n"/>
      <c r="H9" s="17" t="n"/>
      <c r="I9" s="17" t="n"/>
    </row>
    <row r="10">
      <c r="A10" s="19" t="inlineStr">
        <is>
          <t>LTI / индекс лидерского перехода</t>
        </is>
      </c>
      <c r="B10" s="21">
        <f>IF(OR(B4&lt;0.8,B7&lt;0.8),"",ROUND(((3-B5)/3*0.55+B8*0.45)*100-IF(B6+B9&gt;0,10,0),0))</f>
        <v/>
      </c>
      <c r="C10" s="19" t="inlineStr">
        <is>
          <t>75+</t>
        </is>
      </c>
      <c r="D10" s="19" t="inlineStr">
        <is>
          <t>Сводный показатель</t>
        </is>
      </c>
      <c r="E10" s="19" t="str"/>
      <c r="F10" s="17" t="n"/>
      <c r="G10" s="17" t="n"/>
      <c r="H10" s="17" t="n"/>
      <c r="I10" s="17" t="n"/>
    </row>
    <row r="11">
      <c r="A11" s="19" t="inlineStr">
        <is>
          <t>Статус</t>
        </is>
      </c>
      <c r="B11" s="19">
        <f>IF(B10="","",IF(B10&gt;=75,"GO / запускать",IF(B10&gt;=50,"HOLD / пауза","NO-GO / остановить")))</f>
        <v/>
      </c>
      <c r="C11" s="19" t="inlineStr">
        <is>
          <t>GO / HOLD / NO-GO</t>
        </is>
      </c>
      <c r="D11" s="19" t="inlineStr">
        <is>
          <t>Порог LTI</t>
        </is>
      </c>
      <c r="E11" s="19" t="str"/>
      <c r="F11" s="17" t="n"/>
      <c r="G11" s="17" t="n"/>
      <c r="H11" s="17" t="n"/>
      <c r="I11" s="17" t="n"/>
    </row>
    <row r="12">
      <c r="A12" s="19" t="inlineStr">
        <is>
          <t>Главный риск</t>
        </is>
      </c>
      <c r="B12" s="19">
        <f>IF(B10="","Недостаточно данных",IF(B6+B9&gt;0,"Есть критичные сдвиги или мандаты",IF(B8&lt;0.75,"Мандаты переданы неполно",IF(B5&gt;=1.5,"Риск отката к ручному режиму","Переход управляем"))))</f>
        <v/>
      </c>
      <c r="C12" s="19" t="inlineStr">
        <is>
          <t>Автовывод</t>
        </is>
      </c>
      <c r="D12" s="19" t="inlineStr">
        <is>
          <t>LTI + критичные зоны</t>
        </is>
      </c>
      <c r="E12" s="19" t="str"/>
      <c r="F12" s="17" t="n"/>
      <c r="G12" s="17" t="n"/>
      <c r="H12" s="17" t="n"/>
      <c r="I12" s="17" t="n"/>
    </row>
    <row r="13">
      <c r="A13" s="19" t="inlineStr">
        <is>
          <t>Рекомендуемый следующий блок</t>
        </is>
      </c>
      <c r="B13" s="19">
        <f>'05_Отчет'!B9</f>
        <v/>
      </c>
      <c r="C13" s="19" t="inlineStr">
        <is>
          <t>Ручной выбор</t>
        </is>
      </c>
      <c r="D13" s="19" t="inlineStr">
        <is>
          <t>05_Отчет</t>
        </is>
      </c>
      <c r="E13" s="19" t="str"/>
      <c r="F13" s="17" t="n"/>
      <c r="G13" s="17" t="n"/>
      <c r="H13" s="17" t="n"/>
      <c r="I13" s="17" t="n"/>
    </row>
    <row r="14">
      <c r="A14" s="19" t="inlineStr">
        <is>
          <t>Дата обновления</t>
        </is>
      </c>
      <c r="B14" s="19">
        <f>IF('01_Ввод'!B5="","",'01_Ввод'!B5)</f>
        <v/>
      </c>
      <c r="C14" s="19" t="inlineStr">
        <is>
          <t>Дата</t>
        </is>
      </c>
      <c r="D14" s="19" t="inlineStr">
        <is>
          <t>01_Ввод</t>
        </is>
      </c>
      <c r="E14" s="19" t="str"/>
      <c r="F14" s="17" t="n"/>
      <c r="G14" s="17" t="n"/>
      <c r="H14" s="17" t="n"/>
      <c r="I14" s="17" t="n"/>
    </row>
  </sheetData>
  <mergeCells count="4">
    <mergeCell ref="G5:I5"/>
    <mergeCell ref="A1:E1"/>
    <mergeCell ref="G4:I4"/>
    <mergeCell ref="G3:I3"/>
  </mergeCells>
  <pageMargins left="0.7" right="0.7" top="0.75" bottom="0.75" header="0.3" footer="0.3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36" customWidth="1" style="1" min="1" max="1"/>
    <col width="48" customWidth="1" style="1" min="2" max="2"/>
    <col width="38" customWidth="1" style="1" min="3" max="3"/>
    <col width="38" customWidth="1" style="1" min="4" max="4"/>
    <col width="12" customWidth="1" style="1" min="5" max="5"/>
    <col width="12" customWidth="1" style="1" min="6" max="6"/>
    <col width="12" customWidth="1" style="1" min="7" max="7"/>
    <col width="12" customWidth="1" style="1" min="8" max="8"/>
  </cols>
  <sheetData>
    <row r="1">
      <c r="A1" s="16" t="inlineStr">
        <is>
          <t>Отчёт Блока 8</t>
        </is>
      </c>
    </row>
    <row r="2">
      <c r="A2" s="17" t="n"/>
      <c r="B2" s="17" t="n"/>
      <c r="C2" s="17" t="n"/>
      <c r="D2" s="17" t="n"/>
      <c r="E2" s="17" t="n"/>
      <c r="F2" s="17" t="n"/>
      <c r="G2" s="17" t="n"/>
      <c r="H2" s="17" t="n"/>
    </row>
    <row r="3">
      <c r="A3" s="24" t="inlineStr">
        <is>
          <t>Поле</t>
        </is>
      </c>
      <c r="B3" s="24" t="inlineStr">
        <is>
          <t>Вывод</t>
        </is>
      </c>
      <c r="C3" s="17" t="n"/>
      <c r="D3" s="17" t="n"/>
      <c r="E3" s="17" t="n"/>
      <c r="F3" s="23" t="inlineStr">
        <is>
          <t>Формула вывода</t>
        </is>
      </c>
    </row>
    <row r="4">
      <c r="A4" s="19" t="inlineStr">
        <is>
          <t>Клиент</t>
        </is>
      </c>
      <c r="B4" s="19">
        <f>IF('01_Ввод'!B4="","",'01_Ввод'!B4)</f>
        <v/>
      </c>
      <c r="C4" s="17" t="n"/>
      <c r="D4" s="17" t="n"/>
      <c r="E4" s="17" t="n"/>
      <c r="F4" s="25" t="inlineStr">
        <is>
          <t>Старый режим → лидерский сдвиг → мандат → LTI / индекс лидерского перехода → план 30 / 60 / 90 → следующий блок CLM.</t>
        </is>
      </c>
      <c r="G4" s="31" t="n"/>
      <c r="H4" s="32" t="n"/>
    </row>
    <row r="5">
      <c r="A5" s="19" t="inlineStr">
        <is>
          <t>LTI / индекс лидерского перехода</t>
        </is>
      </c>
      <c r="B5" s="21">
        <f>'04_Расчет'!B10</f>
        <v/>
      </c>
      <c r="C5" s="17" t="n"/>
      <c r="D5" s="17" t="n"/>
      <c r="E5" s="17" t="n"/>
      <c r="F5" s="17" t="n"/>
      <c r="G5" s="17" t="n"/>
      <c r="H5" s="17" t="n"/>
    </row>
    <row r="6">
      <c r="A6" s="19" t="inlineStr">
        <is>
          <t>Статус</t>
        </is>
      </c>
      <c r="B6" s="19">
        <f>'04_Расчет'!B11</f>
        <v/>
      </c>
      <c r="C6" s="17" t="n"/>
      <c r="D6" s="17" t="n"/>
      <c r="E6" s="17" t="n"/>
      <c r="F6" s="17" t="n"/>
      <c r="G6" s="17" t="n"/>
      <c r="H6" s="17" t="n"/>
    </row>
    <row r="7">
      <c r="A7" s="19" t="inlineStr">
        <is>
          <t>Главный риск</t>
        </is>
      </c>
      <c r="B7" s="19">
        <f>'04_Расчет'!B12</f>
        <v/>
      </c>
      <c r="C7" s="17" t="n"/>
      <c r="D7" s="17" t="n"/>
      <c r="E7" s="17" t="n"/>
      <c r="F7" s="17" t="n"/>
      <c r="G7" s="17" t="n"/>
      <c r="H7" s="17" t="n"/>
    </row>
    <row r="8">
      <c r="A8" s="19" t="inlineStr">
        <is>
          <t>Рекомендуемый следующий блок</t>
        </is>
      </c>
      <c r="B8" s="29" t="str"/>
      <c r="C8" s="17" t="n"/>
      <c r="D8" s="17" t="n"/>
      <c r="E8" s="17" t="n"/>
      <c r="F8" s="17" t="n"/>
      <c r="G8" s="17" t="n"/>
      <c r="H8" s="17" t="n"/>
    </row>
    <row r="9">
      <c r="A9" s="19" t="inlineStr">
        <is>
          <t>Комментарий консультанта</t>
        </is>
      </c>
      <c r="B9" s="29" t="str"/>
      <c r="C9" s="17" t="n"/>
      <c r="D9" s="17" t="n"/>
      <c r="E9" s="17" t="n"/>
      <c r="F9" s="17" t="n"/>
      <c r="G9" s="17" t="n"/>
      <c r="H9" s="17" t="n"/>
    </row>
    <row r="10">
      <c r="A10" s="19" t="inlineStr">
        <is>
          <t>Первое действие 30 дней</t>
        </is>
      </c>
      <c r="B10" s="29" t="str"/>
      <c r="C10" s="17" t="n"/>
      <c r="D10" s="17" t="n"/>
      <c r="E10" s="17" t="n"/>
      <c r="F10" s="17" t="n"/>
      <c r="G10" s="17" t="n"/>
      <c r="H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</row>
    <row r="12">
      <c r="A12" s="22" t="inlineStr">
        <is>
          <t>Решение для 4 сторон</t>
        </is>
      </c>
      <c r="E12" s="17" t="n"/>
      <c r="F12" s="17" t="n"/>
      <c r="G12" s="17" t="n"/>
      <c r="H12" s="17" t="n"/>
    </row>
    <row r="13">
      <c r="A13" s="18" t="inlineStr">
        <is>
          <t>Сторона</t>
        </is>
      </c>
      <c r="B13" s="18" t="inlineStr">
        <is>
          <t>Что показать</t>
        </is>
      </c>
      <c r="C13" s="18" t="inlineStr">
        <is>
          <t>Что не включать</t>
        </is>
      </c>
      <c r="D13" s="18" t="inlineStr">
        <is>
          <t>Решение</t>
        </is>
      </c>
      <c r="E13" s="17" t="n"/>
      <c r="F13" s="17" t="n"/>
      <c r="G13" s="17" t="n"/>
      <c r="H13" s="17" t="n"/>
    </row>
    <row r="14">
      <c r="A14" s="19" t="inlineStr">
        <is>
          <t>CEO / генеральный директор</t>
        </is>
      </c>
      <c r="B14" s="19" t="inlineStr">
        <is>
          <t>Где его сила стала узким местом и какие решения надо отдать в систему</t>
        </is>
      </c>
      <c r="C14" s="19" t="inlineStr">
        <is>
          <t>Психологический портрет или обвинение личности</t>
        </is>
      </c>
      <c r="D14" s="29" t="str"/>
      <c r="E14" s="17" t="n"/>
      <c r="F14" s="17" t="n"/>
      <c r="G14" s="17" t="n"/>
      <c r="H14" s="17" t="n"/>
    </row>
    <row r="15">
      <c r="A15" s="19" t="inlineStr">
        <is>
          <t>C-level-команда / первый управленческий круг</t>
        </is>
      </c>
      <c r="B15" s="19" t="inlineStr">
        <is>
          <t>Мандаты, автономию, доверие и правила принятия решений</t>
        </is>
      </c>
      <c r="C15" s="19" t="inlineStr">
        <is>
          <t>Неясные пожелания быть самостоятельнее</t>
        </is>
      </c>
      <c r="D15" s="29" t="str"/>
      <c r="E15" s="17" t="n"/>
      <c r="F15" s="17" t="n"/>
      <c r="G15" s="17" t="n"/>
      <c r="H15" s="17" t="n"/>
    </row>
    <row r="16">
      <c r="A16" s="19" t="inlineStr">
        <is>
          <t>Владелец компании</t>
        </is>
      </c>
      <c r="B16" s="19" t="inlineStr">
        <is>
          <t>Снижение зависимости компании от ручного управления</t>
        </is>
      </c>
      <c r="C16" s="19" t="inlineStr">
        <is>
          <t>Список личных претензий к CEO</t>
        </is>
      </c>
      <c r="D16" s="29" t="str"/>
      <c r="E16" s="17" t="n"/>
      <c r="F16" s="17" t="n"/>
      <c r="G16" s="17" t="n"/>
      <c r="H16" s="17" t="n"/>
    </row>
    <row r="17">
      <c r="A17" s="19" t="inlineStr">
        <is>
          <t>Board / совет директоров</t>
        </is>
      </c>
      <c r="B17" s="19" t="inlineStr">
        <is>
          <t>Сигналы по преемственности, управляемости и риску отката</t>
        </is>
      </c>
      <c r="C17" s="19" t="inlineStr">
        <is>
          <t>Операционные детали без системного риска</t>
        </is>
      </c>
      <c r="D17" s="29" t="str"/>
      <c r="E17" s="17" t="n"/>
      <c r="F17" s="17" t="n"/>
      <c r="G17" s="17" t="n"/>
      <c r="H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</row>
    <row r="19">
      <c r="A19" s="22" t="inlineStr">
        <is>
          <t>План 30 / 60 / 90</t>
        </is>
      </c>
      <c r="E19" s="17" t="n"/>
      <c r="F19" s="17" t="n"/>
      <c r="G19" s="17" t="n"/>
      <c r="H19" s="17" t="n"/>
    </row>
    <row r="20">
      <c r="A20" s="18" t="inlineStr">
        <is>
          <t>Горизонт</t>
        </is>
      </c>
      <c r="B20" s="18" t="inlineStr">
        <is>
          <t>Цель</t>
        </is>
      </c>
      <c r="C20" s="18" t="inlineStr">
        <is>
          <t>Действие</t>
        </is>
      </c>
      <c r="D20" s="18" t="inlineStr">
        <is>
          <t>Метрика</t>
        </is>
      </c>
      <c r="E20" s="17" t="n"/>
      <c r="F20" s="17" t="n"/>
      <c r="G20" s="17" t="n"/>
      <c r="H20" s="17" t="n"/>
    </row>
    <row r="21">
      <c r="A21" s="19" t="inlineStr">
        <is>
          <t>30 дней</t>
        </is>
      </c>
      <c r="B21" s="19" t="inlineStr">
        <is>
          <t>Найти ручной контроль, слабые мандаты и точки отката</t>
        </is>
      </c>
      <c r="C21" s="29" t="str"/>
      <c r="D21" s="29" t="str"/>
      <c r="E21" s="17" t="n"/>
      <c r="F21" s="17" t="n"/>
      <c r="G21" s="17" t="n"/>
      <c r="H21" s="17" t="n"/>
    </row>
    <row r="22">
      <c r="A22" s="19" t="inlineStr">
        <is>
          <t>60 дней</t>
        </is>
      </c>
      <c r="B22" s="19" t="inlineStr">
        <is>
          <t>Передать права решений, закрепить владельцев и ритмы</t>
        </is>
      </c>
      <c r="C22" s="29" t="str"/>
      <c r="D22" s="29" t="str"/>
      <c r="E22" s="17" t="n"/>
      <c r="F22" s="17" t="n"/>
      <c r="G22" s="17" t="n"/>
      <c r="H22" s="17" t="n"/>
    </row>
    <row r="23">
      <c r="A23" s="19" t="inlineStr">
        <is>
          <t>90 дней</t>
        </is>
      </c>
      <c r="B23" s="19" t="inlineStr">
        <is>
          <t>Проверить устойчивость нового режима и готовность к AI / ИИ</t>
        </is>
      </c>
      <c r="C23" s="29" t="str"/>
      <c r="D23" s="29" t="str"/>
      <c r="E23" s="17" t="n"/>
      <c r="F23" s="17" t="n"/>
      <c r="G23" s="17" t="n"/>
      <c r="H23" s="17" t="n"/>
    </row>
  </sheetData>
  <mergeCells count="5">
    <mergeCell ref="A12:D12"/>
    <mergeCell ref="F4:H4"/>
    <mergeCell ref="A19:D19"/>
    <mergeCell ref="A1:H1"/>
    <mergeCell ref="F3:H3"/>
  </mergeCells>
  <dataValidations count="1">
    <dataValidation sqref="B8" showDropDown="0" showInputMessage="0" showErrorMessage="0" allowBlank="0" type="list">
      <formula1>"Блок 9,Блок 10,Блок 11,Блок 12"</formula1>
    </dataValidation>
  </dataValidations>
  <pageMargins left="0.7" right="0.7" top="0.75" bottom="0.75" header="0.3" footer="0.3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selection activeCell="A1" sqref="A1"/>
    </sheetView>
  </sheetViews>
  <sheetFormatPr baseColWidth="8" defaultRowHeight="15"/>
  <cols>
    <col width="34" customWidth="1" style="1" min="1" max="1"/>
    <col width="42" customWidth="1" style="1" min="2" max="2"/>
    <col width="58" customWidth="1" style="1" min="3" max="3"/>
    <col width="4" customWidth="1" style="1" min="4" max="4"/>
    <col width="10" customWidth="1" style="1" min="5" max="5"/>
    <col width="18" customWidth="1" style="1" min="6" max="6"/>
    <col width="28" customWidth="1" style="1" min="7" max="7"/>
    <col width="4" customWidth="1" style="1" min="8" max="8"/>
    <col width="34" customWidth="1" style="1" min="9" max="9"/>
    <col width="18" customWidth="1" style="1" min="10" max="10"/>
    <col width="66" customWidth="1" style="1" min="11" max="11"/>
  </cols>
  <sheetData>
    <row r="1">
      <c r="A1" s="18" t="inlineStr">
        <is>
          <t>Лидерский сдвиг</t>
        </is>
      </c>
      <c r="B1" s="18" t="inlineStr">
        <is>
          <t>Старый режим</t>
        </is>
      </c>
      <c r="C1" s="18" t="inlineStr">
        <is>
          <t>Новый режим CLM</t>
        </is>
      </c>
      <c r="D1" s="16" t="n"/>
      <c r="E1" s="24" t="inlineStr">
        <is>
          <t>Оценка</t>
        </is>
      </c>
      <c r="F1" s="24" t="inlineStr">
        <is>
          <t>Статус</t>
        </is>
      </c>
      <c r="G1" s="24" t="inlineStr">
        <is>
          <t>Смысл</t>
        </is>
      </c>
      <c r="H1" s="16" t="n"/>
      <c r="I1" s="24" t="inlineStr">
        <is>
          <t>Сигнал</t>
        </is>
      </c>
      <c r="J1" s="24" t="inlineStr">
        <is>
          <t>Следующий блок</t>
        </is>
      </c>
      <c r="K1" s="24" t="inlineStr">
        <is>
          <t>Когда нужен</t>
        </is>
      </c>
    </row>
    <row r="2">
      <c r="A2" s="19" t="inlineStr">
        <is>
          <t>От героя к архитектору</t>
        </is>
      </c>
      <c r="B2" s="19" t="inlineStr">
        <is>
          <t>Лидер лично спасает систему</t>
        </is>
      </c>
      <c r="C2" s="19" t="inlineStr">
        <is>
          <t>Лидер строит систему, которая работает без героизма</t>
        </is>
      </c>
      <c r="D2" s="17" t="n"/>
      <c r="E2" s="19" t="n">
        <v>0</v>
      </c>
      <c r="F2" s="19" t="inlineStr">
        <is>
          <t>ОК</t>
        </is>
      </c>
      <c r="G2" s="19" t="inlineStr">
        <is>
          <t>Режим держится</t>
        </is>
      </c>
      <c r="H2" s="17" t="n"/>
      <c r="I2" s="19" t="inlineStr">
        <is>
          <t>Лидерский режим стабилизирован</t>
        </is>
      </c>
      <c r="J2" s="19" t="inlineStr">
        <is>
          <t>Блок 9</t>
        </is>
      </c>
      <c r="K2" s="19" t="inlineStr">
        <is>
          <t>Подключать AI / ИИ-контур поверх формализованных решений.</t>
        </is>
      </c>
    </row>
    <row r="3">
      <c r="A3" s="19" t="inlineStr">
        <is>
          <t>От контроля к мандатам</t>
        </is>
      </c>
      <c r="B3" s="19" t="inlineStr">
        <is>
          <t>Контроль задач и согласований</t>
        </is>
      </c>
      <c r="C3" s="19" t="inlineStr">
        <is>
          <t>Передача права решения, ответственности и метрики</t>
        </is>
      </c>
      <c r="D3" s="17" t="n"/>
      <c r="E3" s="19" t="n">
        <v>1</v>
      </c>
      <c r="F3" s="19" t="inlineStr">
        <is>
          <t>Разрыв</t>
        </is>
      </c>
      <c r="G3" s="19" t="inlineStr">
        <is>
          <t>Нужно усилить</t>
        </is>
      </c>
      <c r="H3" s="17" t="n"/>
      <c r="I3" s="19" t="inlineStr">
        <is>
          <t>AI / ИИ-мандат не передан</t>
        </is>
      </c>
      <c r="J3" s="19" t="inlineStr">
        <is>
          <t>Блок 9</t>
        </is>
      </c>
      <c r="K3" s="19" t="inlineStr">
        <is>
          <t>Отдельно проверить AI / ИИ-допуск, данные и владельца.</t>
        </is>
      </c>
    </row>
    <row r="4">
      <c r="A4" s="19" t="inlineStr">
        <is>
          <t>От личного решения к Decision OS / системе решений</t>
        </is>
      </c>
      <c r="B4" s="19" t="inlineStr">
        <is>
          <t>Решения через личный доступ</t>
        </is>
      </c>
      <c r="C4" s="19" t="inlineStr">
        <is>
          <t>Решения идут через владельца, критерии, данные и разбор</t>
        </is>
      </c>
      <c r="D4" s="17" t="n"/>
      <c r="E4" s="19" t="n">
        <v>2</v>
      </c>
      <c r="F4" s="19" t="inlineStr">
        <is>
          <t>Критично</t>
        </is>
      </c>
      <c r="G4" s="19" t="inlineStr">
        <is>
          <t>Риск отката</t>
        </is>
      </c>
      <c r="H4" s="17" t="n"/>
      <c r="I4" s="19" t="inlineStr">
        <is>
          <t>Нужна постоянная видимость перехода</t>
        </is>
      </c>
      <c r="J4" s="19" t="inlineStr">
        <is>
          <t>Блок 10</t>
        </is>
      </c>
      <c r="K4" s="19" t="inlineStr">
        <is>
          <t>Передать LTI, ручной контроль и мандаты в панель.</t>
        </is>
      </c>
    </row>
    <row r="5">
      <c r="A5" s="19" t="inlineStr">
        <is>
          <t>От власти к доверию</t>
        </is>
      </c>
      <c r="B5" s="19" t="inlineStr">
        <is>
          <t>Решение держится на статусе</t>
        </is>
      </c>
      <c r="C5" s="19" t="inlineStr">
        <is>
          <t>Решение держится на прозрачности, фактах и доверии</t>
        </is>
      </c>
      <c r="D5" s="17" t="n"/>
      <c r="E5" s="19" t="n">
        <v>3</v>
      </c>
      <c r="F5" s="19" t="inlineStr">
        <is>
          <t>Нет данных</t>
        </is>
      </c>
      <c r="G5" s="19" t="inlineStr">
        <is>
          <t>Недостаточно фактов</t>
        </is>
      </c>
      <c r="H5" s="17" t="n"/>
      <c r="I5" s="19" t="inlineStr">
        <is>
          <t>Нужен план закрепления</t>
        </is>
      </c>
      <c r="J5" s="19" t="inlineStr">
        <is>
          <t>Блок 11</t>
        </is>
      </c>
      <c r="K5" s="19" t="inlineStr">
        <is>
          <t>Развернуть план 30 / 60 / 90 в дорожную карту.</t>
        </is>
      </c>
    </row>
    <row r="6">
      <c r="A6" s="19" t="inlineStr">
        <is>
          <t>От функций к развитию C-level</t>
        </is>
      </c>
      <c r="B6" s="19" t="inlineStr">
        <is>
          <t>Функции защищают себя</t>
        </is>
      </c>
      <c r="C6" s="19" t="inlineStr">
        <is>
          <t>Первый круг растет через мандаты и ответственность</t>
        </is>
      </c>
      <c r="D6" s="17" t="n"/>
      <c r="E6" s="17" t="n"/>
      <c r="F6" s="17" t="n"/>
      <c r="G6" s="17" t="n"/>
      <c r="H6" s="17" t="n"/>
      <c r="I6" s="19" t="inlineStr">
        <is>
          <t>Нужны шаблоны мандатов</t>
        </is>
      </c>
      <c r="J6" s="19" t="inlineStr">
        <is>
          <t>Блок 12</t>
        </is>
      </c>
      <c r="K6" s="19" t="inlineStr">
        <is>
          <t>Закрепить рабочие артефакты передачи решений.</t>
        </is>
      </c>
    </row>
    <row r="7">
      <c r="A7" s="19" t="inlineStr">
        <is>
          <t>От реакции к устойчивости</t>
        </is>
      </c>
      <c r="B7" s="19" t="inlineStr">
        <is>
          <t>Кризис решается вручную</t>
        </is>
      </c>
      <c r="C7" s="19" t="inlineStr">
        <is>
          <t>Резервы и ритмы включаются заранее</t>
        </is>
      </c>
      <c r="D7" s="17" t="n"/>
      <c r="E7" s="17" t="n"/>
      <c r="F7" s="17" t="n"/>
      <c r="G7" s="17" t="n"/>
      <c r="H7" s="17" t="n"/>
      <c r="I7" s="17" t="n"/>
      <c r="J7" s="17" t="n"/>
      <c r="K7" s="17" t="n"/>
    </row>
    <row r="8">
      <c r="A8" s="19" t="inlineStr">
        <is>
          <t>От AI / ИИ-пилота к управляемому контуру</t>
        </is>
      </c>
      <c r="B8" s="19" t="inlineStr">
        <is>
          <t>AI / ИИ остается экспериментом</t>
        </is>
      </c>
      <c r="C8" s="19" t="inlineStr">
        <is>
          <t>AI / ИИ получает мандат, данные и контроль допуска</t>
        </is>
      </c>
      <c r="D8" s="17" t="n"/>
      <c r="E8" s="17" t="n"/>
      <c r="F8" s="17" t="n"/>
      <c r="G8" s="17" t="n"/>
      <c r="H8" s="17" t="n"/>
      <c r="I8" s="17" t="n"/>
      <c r="J8" s="17" t="n"/>
      <c r="K8" s="17" t="n"/>
    </row>
  </sheetData>
  <pageMargins left="0.7" right="0.7" top="0.75" bottom="0.75" header="0.3" footer="0.3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Управление Директорами — CLM_BLOCK_08_LEADERSHIP_TRANSITION_MODULE_RELEASE_V1_LIGHT</dc:title>
  <dc:subject xmlns:dc="http://purl.org/dc/elements/1.1/">Технологическая основа: CLM / C-Level Management / управление C-level-ядром</dc:subject>
  <dcterms:created xmlns:dcterms="http://purl.org/dc/terms/" xmlns:xsi="http://www.w3.org/2001/XMLSchema-instance" xsi:type="dcterms:W3CDTF">2026-07-07T14:26:40Z</dcterms:created>
  <dcterms:modified xmlns:dcterms="http://purl.org/dc/terms/" xmlns:xsi="http://www.w3.org/2001/XMLSchema-instance" xsi:type="dcterms:W3CDTF">2026-07-21T08:33:50Z</dcterms:modified>
</cp:coreProperties>
</file>