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Шоки" sheetId="3" state="visible" r:id="rId3"/>
    <sheet xmlns:r="http://schemas.openxmlformats.org/officeDocument/2006/relationships" name="03_Резервы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3EBDD"/>
      </patternFill>
    </fill>
    <fill>
      <patternFill patternType="solid">
        <fgColor rgb="00FFF7E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165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165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164" fontId="8" fillId="5" borderId="8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5" authorId="0" shapeId="0">
      <text>
        <t>Доля заполненной карты шоков. Пока карта не заполнена, панель не должна изображать готовность.</t>
      </text>
    </comment>
    <comment ref="B6" authorId="0" shapeId="0">
      <text>
        <t>Средний риск по шокам: учитывает готовность, вероятность и удар.</t>
      </text>
    </comment>
    <comment ref="B7" authorId="0" shapeId="0">
      <text>
        <t>Критичные зоны: сумма критичных шоков и критичных зависимостей.</t>
      </text>
    </comment>
    <comment ref="B8" authorId="0" shapeId="0">
      <text>
        <t>Resilience Score / оценка устойчивости: чем выше, тем меньше риск срыва управления под нагрузкой.</t>
      </text>
    </comment>
    <comment ref="B9" authorId="0" shapeId="0">
      <text>
        <t>Итоговый статус: GO / запускать, HOLD / доработать, NO-GO / не запускать.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начала стресс-проверки.</t>
      </text>
    </comment>
    <comment ref="B6" authorId="0" shapeId="0">
      <text>
        <t>Главный разрыв из Блока 3: где уже видно слабое место управленческой системы.</t>
      </text>
    </comment>
    <comment ref="B7" authorId="0" shapeId="0">
      <text>
        <t>Ключевой риск роли из Блока 4.</t>
      </text>
    </comment>
    <comment ref="B8" authorId="0" shapeId="0">
      <text>
        <t>Главный сбой Decision OS / операционной системы решений из Блока 5.</t>
      </text>
    </comment>
    <comment ref="B9" authorId="0" shapeId="0">
      <text>
        <t>Слабый интерфейс ролей из Блока 6.</t>
      </text>
    </comment>
    <comment ref="B10" authorId="0" shapeId="0">
      <text>
        <t>Главный сценарий нагрузки: денежный, рыночный, операционный, кадровый, AI / ИИ, регуляторный или иной.</t>
      </text>
    </comment>
    <comment ref="B11" authorId="0" shapeId="0">
      <text>
        <t>Владелец проверки устойчивости: тот, кто отвечает за сбор фактов и запуск Recovery Loop / контура восстановления.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B3" authorId="0" shapeId="0">
      <text>
        <t>Коротко опишите, как именно проявляется шок для этой компании.</t>
      </text>
    </comment>
    <comment ref="C3" authorId="0" shapeId="0">
      <text>
        <t>Какие C-level-роли первыми попадают под нагрузку.</t>
      </text>
    </comment>
    <comment ref="D3" authorId="0" shapeId="0">
      <text>
        <t>Какие решения перестают приниматься вовремя или качественно.</t>
      </text>
    </comment>
    <comment ref="E3" authorId="0" shapeId="0">
      <text>
        <t>Какие данные нужны для восстановления управляемости.</t>
      </text>
    </comment>
    <comment ref="F3" authorId="0" shapeId="0">
      <text>
        <t>0 — готовности нет; 3 — готовность подтверждена фактами.</t>
      </text>
    </comment>
    <comment ref="G3" authorId="0" shapeId="0">
      <text>
        <t>0 — маловероятно; 3 — высоковероятно.</t>
      </text>
    </comment>
    <comment ref="H3" authorId="0" shapeId="0">
      <text>
        <t>0 — низкий удар; 3 — сильный удар по результату.</t>
      </text>
    </comment>
    <comment ref="I3" authorId="0" shapeId="0">
      <text>
        <t>Факт, источник или короткий комментарий.</t>
      </text>
    </comment>
    <comment ref="J3" authorId="0" shapeId="0">
      <text>
        <t>Автоматический балл риска. Не заполнять вручную.</t>
      </text>
    </comment>
    <comment ref="K3" authorId="0" shapeId="0">
      <text>
        <t>Автоматический статус.</t>
      </text>
    </comment>
    <comment ref="F4" authorId="0" shapeId="0">
      <text>
        <t>Ставьте оценку только по фактам: регламент, резерв, данные, ответственный, проверенный ритм.</t>
      </text>
    </comment>
    <comment ref="I4" authorId="0" shapeId="0">
      <text>
        <t>Без комментария оценка обычно превращается в мнение. Укажите источник или наблюдение.</t>
      </text>
    </comment>
    <comment ref="F5" authorId="0" shapeId="0">
      <text>
        <t>Ставьте оценку только по фактам: регламент, резерв, данные, ответственный, проверенный ритм.</t>
      </text>
    </comment>
    <comment ref="I5" authorId="0" shapeId="0">
      <text>
        <t>Без комментария оценка обычно превращается в мнение. Укажите источник или наблюдение.</t>
      </text>
    </comment>
    <comment ref="F6" authorId="0" shapeId="0">
      <text>
        <t>Ставьте оценку только по фактам: регламент, резерв, данные, ответственный, проверенный ритм.</t>
      </text>
    </comment>
    <comment ref="I6" authorId="0" shapeId="0">
      <text>
        <t>Без комментария оценка обычно превращается в мнение. Укажите источник или наблюдение.</t>
      </text>
    </comment>
    <comment ref="F7" authorId="0" shapeId="0">
      <text>
        <t>Ставьте оценку только по фактам: регламент, резерв, данные, ответственный, проверенный ритм.</t>
      </text>
    </comment>
    <comment ref="I7" authorId="0" shapeId="0">
      <text>
        <t>Без комментария оценка обычно превращается в мнение. Укажите источник или наблюдение.</t>
      </text>
    </comment>
    <comment ref="F8" authorId="0" shapeId="0">
      <text>
        <t>Ставьте оценку только по фактам: регламент, резерв, данные, ответственный, проверенный ритм.</t>
      </text>
    </comment>
    <comment ref="I8" authorId="0" shapeId="0">
      <text>
        <t>Без комментария оценка обычно превращается в мнение. Укажите источник или наблюдение.</t>
      </text>
    </comment>
    <comment ref="F9" authorId="0" shapeId="0">
      <text>
        <t>Ставьте оценку только по фактам: регламент, резерв, данные, ответственный, проверенный ритм.</t>
      </text>
    </comment>
    <comment ref="I9" authorId="0" shapeId="0">
      <text>
        <t>Без комментария оценка обычно превращается в мнение. Укажите источник или наблюдение.</t>
      </text>
    </comment>
    <comment ref="F10" authorId="0" shapeId="0">
      <text>
        <t>Ставьте оценку только по фактам: регламент, резерв, данные, ответственный, проверенный ритм.</t>
      </text>
    </comment>
    <comment ref="I10" authorId="0" shapeId="0">
      <text>
        <t>Без комментария оценка обычно превращается в мнение. Укажите источник или наблюдение.</t>
      </text>
    </comment>
    <comment ref="F11" authorId="0" shapeId="0">
      <text>
        <t>Ставьте оценку только по фактам: регламент, резерв, данные, ответственный, проверенный ритм.</t>
      </text>
    </comment>
    <comment ref="I11" authorId="0" shapeId="0">
      <text>
        <t>Без комментария оценка обычно превращается в мнение. Укажите источник или наблюдение.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A3" authorId="0" shapeId="0">
      <text>
        <t>Критическая зависимость: человек, поставщик, система, данные, процесс, решение или внешний контур.</t>
      </text>
    </comment>
    <comment ref="B3" authorId="0" shapeId="0">
      <text>
        <t>Что именно ломается, если зависимость отказывает.</t>
      </text>
    </comment>
    <comment ref="C3" authorId="0" shapeId="0">
      <text>
        <t>Кто отвечает за зависимость и восстановление.</t>
      </text>
    </comment>
    <comment ref="D3" authorId="0" shapeId="0">
      <text>
        <t>Резерв, обходной маршрут или временная замена.</t>
      </text>
    </comment>
    <comment ref="E3" authorId="0" shapeId="0">
      <text>
        <t>0 — резерва нет; 3 — резерв проверен и может быть запущен.</t>
      </text>
    </comment>
    <comment ref="F3" authorId="0" shapeId="0">
      <text>
        <t>Этап Recovery Loop / контура восстановления: обнаружить, стабилизировать, восстановить, закрепить.</t>
      </text>
    </comment>
    <comment ref="G3" authorId="0" shapeId="0">
      <text>
        <t>Кризисный ритм: как часто команда смотрит факты и принимает решения.</t>
      </text>
    </comment>
    <comment ref="H3" authorId="0" shapeId="0">
      <text>
        <t>0 — риска нет; 3 — высокий риск потери управляемости.</t>
      </text>
    </comment>
    <comment ref="I3" authorId="0" shapeId="0">
      <text>
        <t>Факт, источник или короткий комментарий.</t>
      </text>
    </comment>
    <comment ref="J3" authorId="0" shapeId="0">
      <text>
        <t>Автоматический статус.</t>
      </text>
    </comment>
    <comment ref="D4" authorId="0" shapeId="0">
      <text>
        <t>Резерв должен быть применимым действием, а не пожеланием.</t>
      </text>
    </comment>
    <comment ref="F4" authorId="0" shapeId="0">
      <text>
        <t>Укажите этап, на котором зависимость возвращается в управление.</t>
      </text>
    </comment>
    <comment ref="D5" authorId="0" shapeId="0">
      <text>
        <t>Резерв должен быть применимым действием, а не пожеланием.</t>
      </text>
    </comment>
    <comment ref="F5" authorId="0" shapeId="0">
      <text>
        <t>Укажите этап, на котором зависимость возвращается в управление.</t>
      </text>
    </comment>
    <comment ref="D6" authorId="0" shapeId="0">
      <text>
        <t>Резерв должен быть применимым действием, а не пожеланием.</t>
      </text>
    </comment>
    <comment ref="F6" authorId="0" shapeId="0">
      <text>
        <t>Укажите этап, на котором зависимость возвращается в управление.</t>
      </text>
    </comment>
    <comment ref="D7" authorId="0" shapeId="0">
      <text>
        <t>Резерв должен быть применимым действием, а не пожеланием.</t>
      </text>
    </comment>
    <comment ref="F7" authorId="0" shapeId="0">
      <text>
        <t>Укажите этап, на котором зависимость возвращается в управление.</t>
      </text>
    </comment>
    <comment ref="D8" authorId="0" shapeId="0">
      <text>
        <t>Резерв должен быть применимым действием, а не пожеланием.</t>
      </text>
    </comment>
    <comment ref="F8" authorId="0" shapeId="0">
      <text>
        <t>Укажите этап, на котором зависимость возвращается в управление.</t>
      </text>
    </comment>
    <comment ref="D9" authorId="0" shapeId="0">
      <text>
        <t>Резерв должен быть применимым действием, а не пожеланием.</t>
      </text>
    </comment>
    <comment ref="F9" authorId="0" shapeId="0">
      <text>
        <t>Укажите этап, на котором зависимость возвращается в управление.</t>
      </text>
    </comment>
    <comment ref="D10" authorId="0" shapeId="0">
      <text>
        <t>Резерв должен быть применимым действием, а не пожеланием.</t>
      </text>
    </comment>
    <comment ref="F10" authorId="0" shapeId="0">
      <text>
        <t>Укажите этап, на котором зависимость возвращается в управление.</t>
      </text>
    </comment>
    <comment ref="D11" authorId="0" shapeId="0">
      <text>
        <t>Резерв должен быть применимым действием, а не пожеланием.</t>
      </text>
    </comment>
    <comment ref="F11" authorId="0" shapeId="0">
      <text>
        <t>Укажите этап, на котором зависимость возвращается в управление.</t>
      </text>
    </comment>
    <comment ref="D12" authorId="0" shapeId="0">
      <text>
        <t>Резерв должен быть применимым действием, а не пожеланием.</t>
      </text>
    </comment>
    <comment ref="F12" authorId="0" shapeId="0">
      <text>
        <t>Укажите этап, на котором зависимость возвращается в управление.</t>
      </text>
    </comment>
    <comment ref="D13" authorId="0" shapeId="0">
      <text>
        <t>Резерв должен быть применимым действием, а не пожеланием.</t>
      </text>
    </comment>
    <comment ref="F13" authorId="0" shapeId="0">
      <text>
        <t>Укажите этап, на котором зависимость возвращается в управление.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Выберите следующий блок по главной причине риска, а не по привычному порядку.</t>
      </text>
    </comment>
    <comment ref="B10" authorId="0" shapeId="0">
      <text>
        <t>Первое действие должно снизить конкретный риск шока или зависимости.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Типовые шоки для первичной карты устойчивости.</t>
      </text>
    </comment>
    <comment ref="D1" authorId="0" shapeId="0">
      <text>
        <t>Этапы Recovery Loop / контура восстановления.</t>
      </text>
    </comment>
    <comment ref="H1" authorId="0" shapeId="0">
      <text>
        <t>Следующий блок выбирается по главному выводу Блока 7.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2" customWidth="1" style="1" min="2" max="2"/>
    <col width="22" customWidth="1" style="1" min="3" max="3"/>
    <col width="54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>
      <c r="A1" s="17" t="inlineStr">
        <is>
          <t>CLM Блок 7. Панель устойчивости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Показатель</t>
        </is>
      </c>
      <c r="B3" s="19" t="inlineStr">
        <is>
          <t>Значение</t>
        </is>
      </c>
      <c r="C3" s="19" t="inlineStr">
        <is>
          <t>Норма</t>
        </is>
      </c>
      <c r="D3" s="19" t="inlineStr">
        <is>
          <t>Комментарий</t>
        </is>
      </c>
      <c r="E3" s="18" t="n"/>
      <c r="F3" s="18" t="n"/>
      <c r="G3" s="18" t="n"/>
      <c r="H3" s="18" t="n"/>
    </row>
    <row r="4">
      <c r="A4" s="20" t="inlineStr">
        <is>
          <t>Клиент</t>
        </is>
      </c>
      <c r="B4" s="20">
        <f>IF('01_Ввод'!B4="","",'01_Ввод'!B4)</f>
        <v/>
      </c>
      <c r="C4" s="20" t="str"/>
      <c r="D4" s="20" t="str"/>
      <c r="E4" s="18" t="n"/>
      <c r="F4" s="18" t="n"/>
      <c r="G4" s="18" t="n"/>
      <c r="H4" s="18" t="n"/>
    </row>
    <row r="5">
      <c r="A5" s="20" t="inlineStr">
        <is>
          <t>Заполненность карты шоков</t>
        </is>
      </c>
      <c r="B5" s="21">
        <f>'04_Расчет'!B4</f>
        <v/>
      </c>
      <c r="C5" s="20" t="inlineStr">
        <is>
          <t>80%+</t>
        </is>
      </c>
      <c r="D5" s="20" t="str"/>
      <c r="E5" s="18" t="n"/>
      <c r="F5" s="18" t="n"/>
      <c r="G5" s="18" t="n"/>
      <c r="H5" s="18" t="n"/>
    </row>
    <row r="6">
      <c r="A6" s="20" t="inlineStr">
        <is>
          <t>Средний риск шоков</t>
        </is>
      </c>
      <c r="B6" s="22">
        <f>'04_Расчет'!B5</f>
        <v/>
      </c>
      <c r="C6" s="20" t="inlineStr">
        <is>
          <t>0-1</t>
        </is>
      </c>
      <c r="D6" s="20" t="str"/>
      <c r="E6" s="18" t="n"/>
      <c r="F6" s="18" t="n"/>
      <c r="G6" s="18" t="n"/>
      <c r="H6" s="18" t="n"/>
    </row>
    <row r="7">
      <c r="A7" s="20" t="inlineStr">
        <is>
          <t>Критичные зоны</t>
        </is>
      </c>
      <c r="B7" s="20">
        <f>IF('04_Расчет'!B9="","Нет данных",'04_Расчет'!B6+'04_Расчет'!B8)</f>
        <v/>
      </c>
      <c r="C7" s="20" t="inlineStr">
        <is>
          <t>0</t>
        </is>
      </c>
      <c r="D7" s="20" t="str"/>
      <c r="E7" s="18" t="n"/>
      <c r="F7" s="18" t="n"/>
      <c r="G7" s="18" t="n"/>
      <c r="H7" s="18" t="n"/>
    </row>
    <row r="8">
      <c r="A8" s="20" t="inlineStr">
        <is>
          <t>Resilience Score</t>
        </is>
      </c>
      <c r="B8" s="23">
        <f>'04_Расчет'!B9</f>
        <v/>
      </c>
      <c r="C8" s="20" t="inlineStr">
        <is>
          <t>75+</t>
        </is>
      </c>
      <c r="D8" s="20" t="str"/>
      <c r="E8" s="18" t="n"/>
      <c r="F8" s="18" t="n"/>
      <c r="G8" s="18" t="n"/>
      <c r="H8" s="18" t="n"/>
    </row>
    <row r="9">
      <c r="A9" s="20" t="inlineStr">
        <is>
          <t>Статус</t>
        </is>
      </c>
      <c r="B9" s="20">
        <f>'04_Расчет'!B10</f>
        <v/>
      </c>
      <c r="C9" s="20" t="inlineStr">
        <is>
          <t>GO / HOLD / NO-GO</t>
        </is>
      </c>
      <c r="D9" s="20" t="str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24" t="inlineStr">
        <is>
          <t>Контроль заполнения</t>
        </is>
      </c>
      <c r="E11" s="18" t="n"/>
      <c r="F11" s="25" t="inlineStr">
        <is>
          <t>Что проверяет Блок 7</t>
        </is>
      </c>
    </row>
    <row r="12">
      <c r="A12" s="26" t="inlineStr">
        <is>
          <t>Слой</t>
        </is>
      </c>
      <c r="B12" s="26" t="inlineStr">
        <is>
          <t>Заполненность / число</t>
        </is>
      </c>
      <c r="C12" s="26" t="inlineStr">
        <is>
          <t>Норма</t>
        </is>
      </c>
      <c r="D12" s="26" t="inlineStr">
        <is>
          <t>Комментарий</t>
        </is>
      </c>
      <c r="E12" s="18" t="n"/>
      <c r="F12" s="27" t="inlineStr">
        <is>
          <t>Блок 7 проверяет не наличие антикризисного документа, а способность C-level-команды удержать решения, роли, данные и ритм под нагрузкой.</t>
        </is>
      </c>
      <c r="G12" s="33" t="n"/>
      <c r="H12" s="34" t="n"/>
    </row>
    <row r="13">
      <c r="A13" s="20" t="inlineStr">
        <is>
          <t>Карта шоков</t>
        </is>
      </c>
      <c r="B13" s="21">
        <f>'04_Расчет'!B4</f>
        <v/>
      </c>
      <c r="C13" s="20" t="inlineStr">
        <is>
          <t>80%+</t>
        </is>
      </c>
      <c r="D13" s="20" t="str"/>
      <c r="E13" s="18" t="n"/>
      <c r="F13" s="27" t="inlineStr">
        <is>
          <t>Главный вопрос: где система ломается при шоке, какой есть резерв и кто запускает Recovery Loop / контур восстановления.</t>
        </is>
      </c>
      <c r="G13" s="33" t="n"/>
      <c r="H13" s="34" t="n"/>
    </row>
    <row r="14">
      <c r="A14" s="20" t="inlineStr">
        <is>
          <t>Критические зависимости</t>
        </is>
      </c>
      <c r="B14" s="20">
        <f>'04_Расчет'!B7</f>
        <v/>
      </c>
      <c r="C14" s="20" t="inlineStr">
        <is>
          <t>1+</t>
        </is>
      </c>
      <c r="D14" s="20" t="str"/>
      <c r="E14" s="18" t="n"/>
      <c r="F14" s="27" t="inlineStr">
        <is>
          <t>Если устойчивость держится на CEO, вывод уходит в Блок 8. Если ломаются данные или AI / ИИ, вывод уходит в Блок 9.</t>
        </is>
      </c>
      <c r="G14" s="33" t="n"/>
      <c r="H14" s="34" t="n"/>
    </row>
    <row r="15">
      <c r="A15" s="20" t="inlineStr">
        <is>
          <t>Критичные зоны</t>
        </is>
      </c>
      <c r="B15" s="20">
        <f>IF('04_Расчет'!B9="","Нет данных",'04_Расчет'!B6+'04_Расчет'!B8)</f>
        <v/>
      </c>
      <c r="C15" s="20" t="inlineStr">
        <is>
          <t>0</t>
        </is>
      </c>
      <c r="D15" s="20" t="str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30" t="inlineStr">
        <is>
          <t>Как пользоваться</t>
        </is>
      </c>
    </row>
    <row r="18">
      <c r="A18" s="20" t="inlineStr">
        <is>
          <t>1. Заполните 01_Ввод: входы из Блоков 3–6 и главный сценарий нагрузки.</t>
        </is>
      </c>
      <c r="B18" s="20" t="str"/>
      <c r="C18" s="20" t="str"/>
      <c r="D18" s="20" t="str"/>
      <c r="E18" s="20" t="str"/>
      <c r="F18" s="20" t="str"/>
      <c r="G18" s="20" t="str"/>
      <c r="H18" s="20" t="str"/>
    </row>
    <row r="19">
      <c r="A19" s="20" t="inlineStr">
        <is>
          <t>2. На 02_Шоки оцените 8 сценариев: готовность, вероятность, удар.</t>
        </is>
      </c>
      <c r="B19" s="20" t="str"/>
      <c r="C19" s="20" t="str"/>
      <c r="D19" s="20" t="str"/>
      <c r="E19" s="20" t="str"/>
      <c r="F19" s="20" t="str"/>
      <c r="G19" s="20" t="str"/>
      <c r="H19" s="20" t="str"/>
    </row>
    <row r="20">
      <c r="A20" s="20" t="inlineStr">
        <is>
          <t>3. На 03_Резервы заполните критические зависимости, резервы и Recovery Loop / контур восстановления.</t>
        </is>
      </c>
      <c r="B20" s="20" t="str"/>
      <c r="C20" s="20" t="str"/>
      <c r="D20" s="20" t="str"/>
      <c r="E20" s="20" t="str"/>
      <c r="F20" s="20" t="str"/>
      <c r="G20" s="20" t="str"/>
      <c r="H20" s="20" t="str"/>
    </row>
    <row r="21">
      <c r="A21" s="20" t="inlineStr">
        <is>
          <t>4. 04_Расчет не заполняется вручную.</t>
        </is>
      </c>
      <c r="B21" s="20" t="str"/>
      <c r="C21" s="20" t="str"/>
      <c r="D21" s="20" t="str"/>
      <c r="E21" s="20" t="str"/>
      <c r="F21" s="20" t="str"/>
      <c r="G21" s="20" t="str"/>
      <c r="H21" s="20" t="str"/>
    </row>
    <row r="22">
      <c r="A22" s="20" t="inlineStr">
        <is>
          <t>5. На 05_Отчет выберите следующий блок: чаще всего Блок 8, если устойчивость держится на CEO.</t>
        </is>
      </c>
      <c r="B22" s="20" t="str"/>
      <c r="C22" s="20" t="str"/>
      <c r="D22" s="20" t="str"/>
      <c r="E22" s="20" t="str"/>
      <c r="F22" s="20" t="str"/>
      <c r="G22" s="20" t="str"/>
      <c r="H22" s="20" t="str"/>
    </row>
  </sheetData>
  <mergeCells count="7">
    <mergeCell ref="F14:H14"/>
    <mergeCell ref="A11:D11"/>
    <mergeCell ref="F13:H13"/>
    <mergeCell ref="F12:H12"/>
    <mergeCell ref="A1:H1"/>
    <mergeCell ref="F11:H11"/>
    <mergeCell ref="A17:H17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88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7" t="inlineStr">
        <is>
          <t>CLM Блок 7. Ввод устойчивости C-level-ядра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19" t="inlineStr">
        <is>
          <t>Поле</t>
        </is>
      </c>
      <c r="B3" s="19" t="inlineStr">
        <is>
          <t>Значение</t>
        </is>
      </c>
      <c r="C3" s="18" t="n"/>
      <c r="D3" s="18" t="n"/>
      <c r="E3" s="18" t="n"/>
      <c r="F3" s="18" t="n"/>
      <c r="G3" s="18" t="n"/>
      <c r="H3" s="18" t="n"/>
    </row>
    <row r="4">
      <c r="A4" s="20" t="inlineStr">
        <is>
          <t>Клиент</t>
        </is>
      </c>
      <c r="B4" s="31" t="str"/>
      <c r="C4" s="18" t="n"/>
      <c r="D4" s="18" t="n"/>
      <c r="E4" s="18" t="n"/>
      <c r="F4" s="18" t="n"/>
      <c r="G4" s="18" t="n"/>
      <c r="H4" s="18" t="n"/>
    </row>
    <row r="5">
      <c r="A5" s="20" t="inlineStr">
        <is>
          <t>Дата запуска</t>
        </is>
      </c>
      <c r="B5" s="32" t="str"/>
      <c r="C5" s="18" t="n"/>
      <c r="D5" s="18" t="n"/>
      <c r="E5" s="18" t="n"/>
      <c r="F5" s="18" t="n"/>
      <c r="G5" s="18" t="n"/>
      <c r="H5" s="18" t="n"/>
    </row>
    <row r="6">
      <c r="A6" s="20" t="inlineStr">
        <is>
          <t>Разрыв из Блока 3</t>
        </is>
      </c>
      <c r="B6" s="31" t="str"/>
      <c r="C6" s="18" t="n"/>
      <c r="D6" s="18" t="n"/>
      <c r="E6" s="18" t="n"/>
      <c r="F6" s="18" t="n"/>
      <c r="G6" s="18" t="n"/>
      <c r="H6" s="18" t="n"/>
    </row>
    <row r="7">
      <c r="A7" s="20" t="inlineStr">
        <is>
          <t>Риск роли из Блока 4</t>
        </is>
      </c>
      <c r="B7" s="31" t="str"/>
      <c r="C7" s="18" t="n"/>
      <c r="D7" s="18" t="n"/>
      <c r="E7" s="18" t="n"/>
      <c r="F7" s="18" t="n"/>
      <c r="G7" s="18" t="n"/>
      <c r="H7" s="18" t="n"/>
    </row>
    <row r="8">
      <c r="A8" s="20" t="inlineStr">
        <is>
          <t>Сбой Decision OS из Блока 5</t>
        </is>
      </c>
      <c r="B8" s="31" t="str"/>
      <c r="C8" s="18" t="n"/>
      <c r="D8" s="18" t="n"/>
      <c r="E8" s="18" t="n"/>
      <c r="F8" s="18" t="n"/>
      <c r="G8" s="18" t="n"/>
      <c r="H8" s="18" t="n"/>
    </row>
    <row r="9">
      <c r="A9" s="20" t="inlineStr">
        <is>
          <t>Сбой синхронизации из Блока 6</t>
        </is>
      </c>
      <c r="B9" s="31" t="str"/>
      <c r="C9" s="18" t="n"/>
      <c r="D9" s="18" t="n"/>
      <c r="E9" s="18" t="n"/>
      <c r="F9" s="18" t="n"/>
      <c r="G9" s="18" t="n"/>
      <c r="H9" s="18" t="n"/>
    </row>
    <row r="10">
      <c r="A10" s="20" t="inlineStr">
        <is>
          <t>Главный сценарий нагрузки</t>
        </is>
      </c>
      <c r="B10" s="31" t="str"/>
      <c r="C10" s="18" t="n"/>
      <c r="D10" s="18" t="n"/>
      <c r="E10" s="18" t="n"/>
      <c r="F10" s="18" t="n"/>
      <c r="G10" s="18" t="n"/>
      <c r="H10" s="18" t="n"/>
    </row>
    <row r="11">
      <c r="A11" s="20" t="inlineStr">
        <is>
          <t>Владелец устойчивости</t>
        </is>
      </c>
      <c r="B11" s="31" t="str"/>
      <c r="C11" s="18" t="n"/>
      <c r="D11" s="18" t="n"/>
      <c r="E11" s="18" t="n"/>
      <c r="F11" s="18" t="n"/>
      <c r="G11" s="18" t="n"/>
      <c r="H11" s="18" t="n"/>
    </row>
    <row r="12">
      <c r="A12" s="20" t="inlineStr">
        <is>
          <t>Комментарий</t>
        </is>
      </c>
      <c r="B12" s="31" t="str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24" t="inlineStr">
        <is>
          <t>Правило заполнения</t>
        </is>
      </c>
      <c r="C14" s="18" t="n"/>
      <c r="D14" s="18" t="n"/>
      <c r="E14" s="18" t="n"/>
      <c r="F14" s="18" t="n"/>
      <c r="G14" s="18" t="n"/>
      <c r="H14" s="18" t="n"/>
    </row>
    <row r="15">
      <c r="A15" s="20" t="inlineStr">
        <is>
          <t>1</t>
        </is>
      </c>
      <c r="B15" s="20" t="inlineStr">
        <is>
          <t>Блок 7 не строит полный каталог кризисов. Достаточно 8–10 сценариев для проверки управляемости.</t>
        </is>
      </c>
      <c r="C15" s="18" t="n"/>
      <c r="D15" s="18" t="n"/>
      <c r="E15" s="18" t="n"/>
      <c r="F15" s="18" t="n"/>
      <c r="G15" s="18" t="n"/>
      <c r="H15" s="18" t="n"/>
    </row>
    <row r="16">
      <c r="A16" s="20" t="inlineStr">
        <is>
          <t>2</t>
        </is>
      </c>
      <c r="B16" s="20" t="inlineStr">
        <is>
          <t>Проверяется не героизм команды, а способность C-level-ядра сохранить решения, данные, доверие и ритм.</t>
        </is>
      </c>
      <c r="C16" s="18" t="n"/>
      <c r="D16" s="18" t="n"/>
      <c r="E16" s="18" t="n"/>
      <c r="F16" s="18" t="n"/>
      <c r="G16" s="18" t="n"/>
      <c r="H16" s="18" t="n"/>
    </row>
    <row r="17">
      <c r="A17" s="20" t="inlineStr">
        <is>
          <t>3</t>
        </is>
      </c>
      <c r="B17" s="20" t="inlineStr">
        <is>
          <t>Критическая зависимость должна иметь резерв или обходной маршрут.</t>
        </is>
      </c>
      <c r="C17" s="18" t="n"/>
      <c r="D17" s="18" t="n"/>
      <c r="E17" s="18" t="n"/>
      <c r="F17" s="18" t="n"/>
      <c r="G17" s="18" t="n"/>
      <c r="H17" s="18" t="n"/>
    </row>
    <row r="18">
      <c r="A18" s="20" t="inlineStr">
        <is>
          <t>4</t>
        </is>
      </c>
      <c r="B18" s="20" t="inlineStr">
        <is>
          <t>Если устойчивость держится на CEO, это вход в Блок 8.</t>
        </is>
      </c>
      <c r="C18" s="18" t="n"/>
      <c r="D18" s="18" t="n"/>
      <c r="E18" s="18" t="n"/>
      <c r="F18" s="18" t="n"/>
      <c r="G18" s="18" t="n"/>
      <c r="H18" s="18" t="n"/>
    </row>
  </sheetData>
  <mergeCells count="2">
    <mergeCell ref="A14:B14"/>
    <mergeCell ref="A1:H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42" customWidth="1" style="1" min="2" max="2"/>
    <col width="30" customWidth="1" style="1" min="3" max="3"/>
    <col width="34" customWidth="1" style="1" min="4" max="4"/>
    <col width="30" customWidth="1" style="1" min="5" max="5"/>
    <col width="15" customWidth="1" style="1" min="6" max="6"/>
    <col width="13" customWidth="1" style="1" min="7" max="7"/>
    <col width="10" customWidth="1" style="1" min="8" max="8"/>
    <col width="38" customWidth="1" style="1" min="9" max="9"/>
    <col width="11" customWidth="1" style="1" min="10" max="10"/>
    <col width="14" customWidth="1" style="1" min="11" max="11"/>
  </cols>
  <sheetData>
    <row r="1">
      <c r="A1" s="17" t="inlineStr">
        <is>
          <t>Карта шоков и стресс-тест C-level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</row>
    <row r="3">
      <c r="A3" s="19" t="inlineStr">
        <is>
          <t>Тип шока</t>
        </is>
      </c>
      <c r="B3" s="19" t="inlineStr">
        <is>
          <t>Описание</t>
        </is>
      </c>
      <c r="C3" s="19" t="inlineStr">
        <is>
          <t>Затронутые роли</t>
        </is>
      </c>
      <c r="D3" s="19" t="inlineStr">
        <is>
          <t>Какие решения ломаются</t>
        </is>
      </c>
      <c r="E3" s="19" t="inlineStr">
        <is>
          <t>Какие данные нужны</t>
        </is>
      </c>
      <c r="F3" s="19" t="inlineStr">
        <is>
          <t>Текущая готовность, 0-3</t>
        </is>
      </c>
      <c r="G3" s="19" t="inlineStr">
        <is>
          <t>Вероятность, 0-3</t>
        </is>
      </c>
      <c r="H3" s="19" t="inlineStr">
        <is>
          <t>Удар, 0-3</t>
        </is>
      </c>
      <c r="I3" s="19" t="inlineStr">
        <is>
          <t>Комментарий / источник</t>
        </is>
      </c>
      <c r="J3" s="19" t="inlineStr">
        <is>
          <t>Балл риска</t>
        </is>
      </c>
      <c r="K3" s="19" t="inlineStr">
        <is>
          <t>Статус</t>
        </is>
      </c>
    </row>
    <row r="4">
      <c r="A4" s="20" t="inlineStr">
        <is>
          <t>Денежный шок</t>
        </is>
      </c>
      <c r="B4" s="31" t="inlineStr">
        <is>
          <t>Кассовый разрыв, долговой стресс, дефицит ликвидности</t>
        </is>
      </c>
      <c r="C4" s="31" t="str"/>
      <c r="D4" s="31" t="str"/>
      <c r="E4" s="31" t="str"/>
      <c r="F4" s="31" t="str"/>
      <c r="G4" s="31" t="str"/>
      <c r="H4" s="31" t="str"/>
      <c r="I4" s="31" t="str"/>
      <c r="J4" s="20">
        <f>IF(COUNTA(F4:H4)&lt;3,"",ROUND(((3-F4)+G4+H4)/3,1))</f>
        <v/>
      </c>
      <c r="K4" s="20">
        <f>IF(J4="","Не заполнено",IF(J4&gt;=2.3,"Критично",IF(J4&gt;=1.5,"Разрыв","ОК")))</f>
        <v/>
      </c>
    </row>
    <row r="5">
      <c r="A5" s="20" t="inlineStr">
        <is>
          <t>Рыночный шок</t>
        </is>
      </c>
      <c r="B5" s="31" t="inlineStr">
        <is>
          <t>Падение спроса, потеря канала, изменение поведения клиента</t>
        </is>
      </c>
      <c r="C5" s="31" t="str"/>
      <c r="D5" s="31" t="str"/>
      <c r="E5" s="31" t="str"/>
      <c r="F5" s="31" t="str"/>
      <c r="G5" s="31" t="str"/>
      <c r="H5" s="31" t="str"/>
      <c r="I5" s="31" t="str"/>
      <c r="J5" s="20">
        <f>IF(COUNTA(F5:H5)&lt;3,"",ROUND(((3-F5)+G5+H5)/3,1))</f>
        <v/>
      </c>
      <c r="K5" s="20">
        <f>IF(J5="","Не заполнено",IF(J5&gt;=2.3,"Критично",IF(J5&gt;=1.5,"Разрыв","ОК")))</f>
        <v/>
      </c>
    </row>
    <row r="6">
      <c r="A6" s="20" t="inlineStr">
        <is>
          <t>Операционный сбой</t>
        </is>
      </c>
      <c r="B6" s="31" t="inlineStr">
        <is>
          <t>Производство, логистика, качество, нарушение сроков</t>
        </is>
      </c>
      <c r="C6" s="31" t="str"/>
      <c r="D6" s="31" t="str"/>
      <c r="E6" s="31" t="str"/>
      <c r="F6" s="31" t="str"/>
      <c r="G6" s="31" t="str"/>
      <c r="H6" s="31" t="str"/>
      <c r="I6" s="31" t="str"/>
      <c r="J6" s="20">
        <f>IF(COUNTA(F6:H6)&lt;3,"",ROUND(((3-F6)+G6+H6)/3,1))</f>
        <v/>
      </c>
      <c r="K6" s="20">
        <f>IF(J6="","Не заполнено",IF(J6&gt;=2.3,"Критично",IF(J6&gt;=1.5,"Разрыв","ОК")))</f>
        <v/>
      </c>
    </row>
    <row r="7">
      <c r="A7" s="20" t="inlineStr">
        <is>
          <t>Кадровый шок</t>
        </is>
      </c>
      <c r="B7" s="31" t="inlineStr">
        <is>
          <t>Потеря ключевого лидера, конфликт, перегруз команды</t>
        </is>
      </c>
      <c r="C7" s="31" t="str"/>
      <c r="D7" s="31" t="str"/>
      <c r="E7" s="31" t="str"/>
      <c r="F7" s="31" t="str"/>
      <c r="G7" s="31" t="str"/>
      <c r="H7" s="31" t="str"/>
      <c r="I7" s="31" t="str"/>
      <c r="J7" s="20">
        <f>IF(COUNTA(F7:H7)&lt;3,"",ROUND(((3-F7)+G7+H7)/3,1))</f>
        <v/>
      </c>
      <c r="K7" s="20">
        <f>IF(J7="","Не заполнено",IF(J7&gt;=2.3,"Критично",IF(J7&gt;=1.5,"Разрыв","ОК")))</f>
        <v/>
      </c>
    </row>
    <row r="8">
      <c r="A8" s="20" t="inlineStr">
        <is>
          <t>AI / ИИ или технологический сбой</t>
        </is>
      </c>
      <c r="B8" s="31" t="inlineStr">
        <is>
          <t>Данные, системы, безопасность, автоматизация</t>
        </is>
      </c>
      <c r="C8" s="31" t="str"/>
      <c r="D8" s="31" t="str"/>
      <c r="E8" s="31" t="str"/>
      <c r="F8" s="31" t="str"/>
      <c r="G8" s="31" t="str"/>
      <c r="H8" s="31" t="str"/>
      <c r="I8" s="31" t="str"/>
      <c r="J8" s="20">
        <f>IF(COUNTA(F8:H8)&lt;3,"",ROUND(((3-F8)+G8+H8)/3,1))</f>
        <v/>
      </c>
      <c r="K8" s="20">
        <f>IF(J8="","Не заполнено",IF(J8&gt;=2.3,"Критично",IF(J8&gt;=1.5,"Разрыв","ОК")))</f>
        <v/>
      </c>
    </row>
    <row r="9">
      <c r="A9" s="20" t="inlineStr">
        <is>
          <t>Регуляторный / правовой шок</t>
        </is>
      </c>
      <c r="B9" s="31" t="inlineStr">
        <is>
          <t>Комплаенс, проверки, ограничения, юридический риск</t>
        </is>
      </c>
      <c r="C9" s="31" t="str"/>
      <c r="D9" s="31" t="str"/>
      <c r="E9" s="31" t="str"/>
      <c r="F9" s="31" t="str"/>
      <c r="G9" s="31" t="str"/>
      <c r="H9" s="31" t="str"/>
      <c r="I9" s="31" t="str"/>
      <c r="J9" s="20">
        <f>IF(COUNTA(F9:H9)&lt;3,"",ROUND(((3-F9)+G9+H9)/3,1))</f>
        <v/>
      </c>
      <c r="K9" s="20">
        <f>IF(J9="","Не заполнено",IF(J9&gt;=2.3,"Критично",IF(J9&gt;=1.5,"Разрыв","ОК")))</f>
        <v/>
      </c>
    </row>
    <row r="10">
      <c r="A10" s="20" t="inlineStr">
        <is>
          <t>Репутационный шок</t>
        </is>
      </c>
      <c r="B10" s="31" t="inlineStr">
        <is>
          <t>Публичный конфликт, клиентский инцидент, доверие рынка</t>
        </is>
      </c>
      <c r="C10" s="31" t="str"/>
      <c r="D10" s="31" t="str"/>
      <c r="E10" s="31" t="str"/>
      <c r="F10" s="31" t="str"/>
      <c r="G10" s="31" t="str"/>
      <c r="H10" s="31" t="str"/>
      <c r="I10" s="31" t="str"/>
      <c r="J10" s="20">
        <f>IF(COUNTA(F10:H10)&lt;3,"",ROUND(((3-F10)+G10+H10)/3,1))</f>
        <v/>
      </c>
      <c r="K10" s="20">
        <f>IF(J10="","Не заполнено",IF(J10&gt;=2.3,"Критично",IF(J10&gt;=1.5,"Разрыв","ОК")))</f>
        <v/>
      </c>
    </row>
    <row r="11">
      <c r="A11" s="20" t="inlineStr">
        <is>
          <t>Партнёрский шок</t>
        </is>
      </c>
      <c r="B11" s="31" t="inlineStr">
        <is>
          <t>Поставщик, подрядчик, банк, платформа, критичный внешний контур</t>
        </is>
      </c>
      <c r="C11" s="31" t="str"/>
      <c r="D11" s="31" t="str"/>
      <c r="E11" s="31" t="str"/>
      <c r="F11" s="31" t="str"/>
      <c r="G11" s="31" t="str"/>
      <c r="H11" s="31" t="str"/>
      <c r="I11" s="31" t="str"/>
      <c r="J11" s="20">
        <f>IF(COUNTA(F11:H11)&lt;3,"",ROUND(((3-F11)+G11+H11)/3,1))</f>
        <v/>
      </c>
      <c r="K11" s="20">
        <f>IF(J11="","Не заполнено",IF(J11&gt;=2.3,"Критично",IF(J11&gt;=1.5,"Разрыв","ОК")))</f>
        <v/>
      </c>
    </row>
  </sheetData>
  <mergeCells count="1">
    <mergeCell ref="A1:K1"/>
  </mergeCells>
  <dataValidations count="3">
    <dataValidation sqref="F4:F11" showDropDown="0" showInputMessage="0" showErrorMessage="0" allowBlank="0" type="whole" operator="between">
      <formula1>0</formula1>
      <formula2>3</formula2>
    </dataValidation>
    <dataValidation sqref="G4:G11" showDropDown="0" showInputMessage="0" showErrorMessage="0" allowBlank="0" type="whole" operator="between">
      <formula1>0</formula1>
      <formula2>3</formula2>
    </dataValidation>
    <dataValidation sqref="H4:H11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4" customWidth="1" style="1" min="2" max="2"/>
    <col width="22" customWidth="1" style="1" min="3" max="3"/>
    <col width="38" customWidth="1" style="1" min="4" max="4"/>
    <col width="16" customWidth="1" style="1" min="5" max="5"/>
    <col width="18" customWidth="1" style="1" min="6" max="6"/>
    <col width="28" customWidth="1" style="1" min="7" max="7"/>
    <col width="12" customWidth="1" style="1" min="8" max="8"/>
    <col width="38" customWidth="1" style="1" min="9" max="9"/>
    <col width="14" customWidth="1" style="1" min="10" max="10"/>
  </cols>
  <sheetData>
    <row r="1">
      <c r="A1" s="17" t="inlineStr">
        <is>
          <t>Критические зависимости, резервы и Recovery Loop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</row>
    <row r="3">
      <c r="A3" s="19" t="inlineStr">
        <is>
          <t>Зависимость</t>
        </is>
      </c>
      <c r="B3" s="19" t="inlineStr">
        <is>
          <t>Что сломается</t>
        </is>
      </c>
      <c r="C3" s="19" t="inlineStr">
        <is>
          <t>Владелец</t>
        </is>
      </c>
      <c r="D3" s="19" t="inlineStr">
        <is>
          <t>Резерв / обходной маршрут</t>
        </is>
      </c>
      <c r="E3" s="19" t="inlineStr">
        <is>
          <t>Готовность резерва, 0-3</t>
        </is>
      </c>
      <c r="F3" s="19" t="inlineStr">
        <is>
          <t>Recovery Loop / этап</t>
        </is>
      </c>
      <c r="G3" s="19" t="inlineStr">
        <is>
          <t>Кризисный ритм</t>
        </is>
      </c>
      <c r="H3" s="19" t="inlineStr">
        <is>
          <t>Риск, 0-3</t>
        </is>
      </c>
      <c r="I3" s="19" t="inlineStr">
        <is>
          <t>Комментарий</t>
        </is>
      </c>
      <c r="J3" s="19" t="inlineStr">
        <is>
          <t>Статус</t>
        </is>
      </c>
    </row>
    <row r="4">
      <c r="A4" s="31" t="str"/>
      <c r="B4" s="31" t="str"/>
      <c r="C4" s="31" t="str"/>
      <c r="D4" s="31" t="str"/>
      <c r="E4" s="31" t="str"/>
      <c r="F4" s="31" t="str"/>
      <c r="G4" s="31" t="str"/>
      <c r="H4" s="31" t="str"/>
      <c r="I4" s="31" t="str"/>
      <c r="J4" s="20">
        <f>IF(A4="","",IF(OR(E4="",H4=""),"Не заполнено",IF(((3-E4)+H4)/2&gt;=2.3,"Критично",IF(((3-E4)+H4)/2&gt;=1.5,"Разрыв","ОК"))))</f>
        <v/>
      </c>
    </row>
    <row r="5">
      <c r="A5" s="31" t="str"/>
      <c r="B5" s="31" t="str"/>
      <c r="C5" s="31" t="str"/>
      <c r="D5" s="31" t="str"/>
      <c r="E5" s="31" t="str"/>
      <c r="F5" s="31" t="str"/>
      <c r="G5" s="31" t="str"/>
      <c r="H5" s="31" t="str"/>
      <c r="I5" s="31" t="str"/>
      <c r="J5" s="20">
        <f>IF(A5="","",IF(OR(E5="",H5=""),"Не заполнено",IF(((3-E5)+H5)/2&gt;=2.3,"Критично",IF(((3-E5)+H5)/2&gt;=1.5,"Разрыв","ОК"))))</f>
        <v/>
      </c>
    </row>
    <row r="6">
      <c r="A6" s="31" t="str"/>
      <c r="B6" s="31" t="str"/>
      <c r="C6" s="31" t="str"/>
      <c r="D6" s="31" t="str"/>
      <c r="E6" s="31" t="str"/>
      <c r="F6" s="31" t="str"/>
      <c r="G6" s="31" t="str"/>
      <c r="H6" s="31" t="str"/>
      <c r="I6" s="31" t="str"/>
      <c r="J6" s="20">
        <f>IF(A6="","",IF(OR(E6="",H6=""),"Не заполнено",IF(((3-E6)+H6)/2&gt;=2.3,"Критично",IF(((3-E6)+H6)/2&gt;=1.5,"Разрыв","ОК"))))</f>
        <v/>
      </c>
    </row>
    <row r="7">
      <c r="A7" s="31" t="str"/>
      <c r="B7" s="31" t="str"/>
      <c r="C7" s="31" t="str"/>
      <c r="D7" s="31" t="str"/>
      <c r="E7" s="31" t="str"/>
      <c r="F7" s="31" t="str"/>
      <c r="G7" s="31" t="str"/>
      <c r="H7" s="31" t="str"/>
      <c r="I7" s="31" t="str"/>
      <c r="J7" s="20">
        <f>IF(A7="","",IF(OR(E7="",H7=""),"Не заполнено",IF(((3-E7)+H7)/2&gt;=2.3,"Критично",IF(((3-E7)+H7)/2&gt;=1.5,"Разрыв","ОК"))))</f>
        <v/>
      </c>
    </row>
    <row r="8">
      <c r="A8" s="31" t="str"/>
      <c r="B8" s="31" t="str"/>
      <c r="C8" s="31" t="str"/>
      <c r="D8" s="31" t="str"/>
      <c r="E8" s="31" t="str"/>
      <c r="F8" s="31" t="str"/>
      <c r="G8" s="31" t="str"/>
      <c r="H8" s="31" t="str"/>
      <c r="I8" s="31" t="str"/>
      <c r="J8" s="20">
        <f>IF(A8="","",IF(OR(E8="",H8=""),"Не заполнено",IF(((3-E8)+H8)/2&gt;=2.3,"Критично",IF(((3-E8)+H8)/2&gt;=1.5,"Разрыв","ОК"))))</f>
        <v/>
      </c>
    </row>
    <row r="9">
      <c r="A9" s="31" t="str"/>
      <c r="B9" s="31" t="str"/>
      <c r="C9" s="31" t="str"/>
      <c r="D9" s="31" t="str"/>
      <c r="E9" s="31" t="str"/>
      <c r="F9" s="31" t="str"/>
      <c r="G9" s="31" t="str"/>
      <c r="H9" s="31" t="str"/>
      <c r="I9" s="31" t="str"/>
      <c r="J9" s="20">
        <f>IF(A9="","",IF(OR(E9="",H9=""),"Не заполнено",IF(((3-E9)+H9)/2&gt;=2.3,"Критично",IF(((3-E9)+H9)/2&gt;=1.5,"Разрыв","ОК"))))</f>
        <v/>
      </c>
    </row>
    <row r="10">
      <c r="A10" s="31" t="str"/>
      <c r="B10" s="31" t="str"/>
      <c r="C10" s="31" t="str"/>
      <c r="D10" s="31" t="str"/>
      <c r="E10" s="31" t="str"/>
      <c r="F10" s="31" t="str"/>
      <c r="G10" s="31" t="str"/>
      <c r="H10" s="31" t="str"/>
      <c r="I10" s="31" t="str"/>
      <c r="J10" s="20">
        <f>IF(A10="","",IF(OR(E10="",H10=""),"Не заполнено",IF(((3-E10)+H10)/2&gt;=2.3,"Критично",IF(((3-E10)+H10)/2&gt;=1.5,"Разрыв","ОК"))))</f>
        <v/>
      </c>
    </row>
    <row r="11">
      <c r="A11" s="31" t="str"/>
      <c r="B11" s="31" t="str"/>
      <c r="C11" s="31" t="str"/>
      <c r="D11" s="31" t="str"/>
      <c r="E11" s="31" t="str"/>
      <c r="F11" s="31" t="str"/>
      <c r="G11" s="31" t="str"/>
      <c r="H11" s="31" t="str"/>
      <c r="I11" s="31" t="str"/>
      <c r="J11" s="20">
        <f>IF(A11="","",IF(OR(E11="",H11=""),"Не заполнено",IF(((3-E11)+H11)/2&gt;=2.3,"Критично",IF(((3-E11)+H11)/2&gt;=1.5,"Разрыв","ОК"))))</f>
        <v/>
      </c>
    </row>
    <row r="12">
      <c r="A12" s="31" t="str"/>
      <c r="B12" s="31" t="str"/>
      <c r="C12" s="31" t="str"/>
      <c r="D12" s="31" t="str"/>
      <c r="E12" s="31" t="str"/>
      <c r="F12" s="31" t="str"/>
      <c r="G12" s="31" t="str"/>
      <c r="H12" s="31" t="str"/>
      <c r="I12" s="31" t="str"/>
      <c r="J12" s="20">
        <f>IF(A12="","",IF(OR(E12="",H12=""),"Не заполнено",IF(((3-E12)+H12)/2&gt;=2.3,"Критично",IF(((3-E12)+H12)/2&gt;=1.5,"Разрыв","ОК"))))</f>
        <v/>
      </c>
    </row>
    <row r="13">
      <c r="A13" s="31" t="str"/>
      <c r="B13" s="31" t="str"/>
      <c r="C13" s="31" t="str"/>
      <c r="D13" s="31" t="str"/>
      <c r="E13" s="31" t="str"/>
      <c r="F13" s="31" t="str"/>
      <c r="G13" s="31" t="str"/>
      <c r="H13" s="31" t="str"/>
      <c r="I13" s="31" t="str"/>
      <c r="J13" s="20">
        <f>IF(A13="","",IF(OR(E13="",H13=""),"Не заполнено",IF(((3-E13)+H13)/2&gt;=2.3,"Критично",IF(((3-E13)+H13)/2&gt;=1.5,"Разрыв","ОК"))))</f>
        <v/>
      </c>
    </row>
  </sheetData>
  <mergeCells count="1">
    <mergeCell ref="A1:J1"/>
  </mergeCells>
  <dataValidations count="3">
    <dataValidation sqref="E4:E13" showDropDown="0" showInputMessage="0" showErrorMessage="0" allowBlank="0" type="whole" operator="between">
      <formula1>0</formula1>
      <formula2>3</formula2>
    </dataValidation>
    <dataValidation sqref="F4:F13" showDropDown="0" showInputMessage="0" showErrorMessage="0" allowBlank="0" type="list">
      <formula1>"48 часов,7 дней,30 дней,90 дней"</formula1>
    </dataValidation>
    <dataValidation sqref="H4:H13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4" customWidth="1" style="1" min="2" max="2"/>
    <col width="22" customWidth="1" style="1" min="3" max="3"/>
    <col width="28" customWidth="1" style="1" min="4" max="4"/>
    <col width="50" customWidth="1" style="1" min="5" max="5"/>
  </cols>
  <sheetData>
    <row r="1">
      <c r="A1" s="17" t="inlineStr">
        <is>
          <t>Расчёт устойчивости</t>
        </is>
      </c>
      <c r="F1" s="17" t="n"/>
      <c r="G1" s="17" t="n"/>
      <c r="H1" s="17" t="n"/>
      <c r="I1" s="18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19" t="inlineStr">
        <is>
          <t>Показатель</t>
        </is>
      </c>
      <c r="B3" s="19" t="inlineStr">
        <is>
          <t>Значение</t>
        </is>
      </c>
      <c r="C3" s="19" t="inlineStr">
        <is>
          <t>Норма</t>
        </is>
      </c>
      <c r="D3" s="19" t="inlineStr">
        <is>
          <t>Источник</t>
        </is>
      </c>
      <c r="E3" s="19" t="inlineStr">
        <is>
          <t>Комментарий</t>
        </is>
      </c>
      <c r="F3" s="18" t="n"/>
      <c r="G3" s="25" t="inlineStr">
        <is>
          <t>Как читать расчет</t>
        </is>
      </c>
    </row>
    <row r="4">
      <c r="A4" s="20" t="inlineStr">
        <is>
          <t>Заполненность карты шоков</t>
        </is>
      </c>
      <c r="B4" s="21">
        <f>IFERROR(COUNT('02_Шоки'!J4:J11)/8,0)</f>
        <v/>
      </c>
      <c r="C4" s="20" t="inlineStr">
        <is>
          <t>80%+</t>
        </is>
      </c>
      <c r="D4" s="20" t="inlineStr">
        <is>
          <t>02_Шоки</t>
        </is>
      </c>
      <c r="E4" s="20" t="str"/>
      <c r="F4" s="18" t="n"/>
      <c r="G4" s="27" t="inlineStr">
        <is>
          <t>Resilience Score / оценка устойчивости не заменяет управленческое решение: он показывает, где команда теряет управляемость под нагрузкой.</t>
        </is>
      </c>
      <c r="H4" s="33" t="n"/>
      <c r="I4" s="34" t="n"/>
    </row>
    <row r="5">
      <c r="A5" s="20" t="inlineStr">
        <is>
          <t>Средний риск шоков</t>
        </is>
      </c>
      <c r="B5" s="20">
        <f>IFERROR(AVERAGE('02_Шоки'!J4:J11),"")</f>
        <v/>
      </c>
      <c r="C5" s="20" t="inlineStr">
        <is>
          <t>0-3</t>
        </is>
      </c>
      <c r="D5" s="20" t="inlineStr">
        <is>
          <t>02_Шоки</t>
        </is>
      </c>
      <c r="E5" s="20" t="str"/>
      <c r="F5" s="18" t="n"/>
      <c r="G5" s="27" t="inlineStr">
        <is>
          <t>Критичные зависимости важнее красивого среднего балла. Если есть хотя бы одна критичная зависимость, нужен конкретный план восстановления.</t>
        </is>
      </c>
      <c r="H5" s="33" t="n"/>
      <c r="I5" s="34" t="n"/>
    </row>
    <row r="6">
      <c r="A6" s="20" t="inlineStr">
        <is>
          <t>Критичных шоков</t>
        </is>
      </c>
      <c r="B6" s="20">
        <f>COUNTIF('02_Шоки'!K4:K11,"Критично")</f>
        <v/>
      </c>
      <c r="C6" s="20" t="inlineStr">
        <is>
          <t>0</t>
        </is>
      </c>
      <c r="D6" s="20" t="inlineStr">
        <is>
          <t>02_Шоки</t>
        </is>
      </c>
      <c r="E6" s="20" t="str"/>
      <c r="F6" s="18" t="n"/>
      <c r="G6" s="18" t="n"/>
      <c r="H6" s="18" t="n"/>
      <c r="I6" s="18" t="n"/>
    </row>
    <row r="7">
      <c r="A7" s="20" t="inlineStr">
        <is>
          <t>Количество зависимостей</t>
        </is>
      </c>
      <c r="B7" s="20">
        <f>COUNTA('03_Резервы'!A4:A13)</f>
        <v/>
      </c>
      <c r="C7" s="20" t="inlineStr">
        <is>
          <t>1+</t>
        </is>
      </c>
      <c r="D7" s="20" t="inlineStr">
        <is>
          <t>03_Резервы</t>
        </is>
      </c>
      <c r="E7" s="20" t="str"/>
      <c r="F7" s="18" t="n"/>
      <c r="G7" s="18" t="n"/>
      <c r="H7" s="18" t="n"/>
      <c r="I7" s="18" t="n"/>
    </row>
    <row r="8">
      <c r="A8" s="20" t="inlineStr">
        <is>
          <t>Критичных зависимостей</t>
        </is>
      </c>
      <c r="B8" s="20">
        <f>COUNTIF('03_Резервы'!J4:J13,"Критично")</f>
        <v/>
      </c>
      <c r="C8" s="20" t="inlineStr">
        <is>
          <t>0</t>
        </is>
      </c>
      <c r="D8" s="20" t="inlineStr">
        <is>
          <t>03_Резервы</t>
        </is>
      </c>
      <c r="E8" s="20" t="str"/>
      <c r="F8" s="18" t="n"/>
      <c r="G8" s="18" t="n"/>
      <c r="H8" s="18" t="n"/>
      <c r="I8" s="18" t="n"/>
    </row>
    <row r="9">
      <c r="A9" s="20" t="inlineStr">
        <is>
          <t>Resilience Score</t>
        </is>
      </c>
      <c r="B9" s="23">
        <f>IF(B4&lt;0.8,"",ROUND((3-B5)/3*100-IF(B6+B8&gt;0,10,0),0))</f>
        <v/>
      </c>
      <c r="C9" s="20" t="inlineStr">
        <is>
          <t>75+</t>
        </is>
      </c>
      <c r="D9" s="20" t="inlineStr">
        <is>
          <t>Сводный показатель</t>
        </is>
      </c>
      <c r="E9" s="20" t="str"/>
      <c r="F9" s="18" t="n"/>
      <c r="G9" s="18" t="n"/>
      <c r="H9" s="18" t="n"/>
      <c r="I9" s="18" t="n"/>
    </row>
    <row r="10">
      <c r="A10" s="20" t="inlineStr">
        <is>
          <t>Статус</t>
        </is>
      </c>
      <c r="B10" s="20">
        <f>IF(B9="","",IF(B9&gt;=75,"GO / запускать",IF(B9&gt;=50,"HOLD / пауза","NO-GO / остановить")))</f>
        <v/>
      </c>
      <c r="C10" s="20" t="inlineStr">
        <is>
          <t>GO / HOLD / NO-GO</t>
        </is>
      </c>
      <c r="D10" s="20" t="inlineStr">
        <is>
          <t>Порог Score</t>
        </is>
      </c>
      <c r="E10" s="20" t="str"/>
      <c r="F10" s="18" t="n"/>
      <c r="G10" s="18" t="n"/>
      <c r="H10" s="18" t="n"/>
      <c r="I10" s="18" t="n"/>
    </row>
    <row r="11">
      <c r="A11" s="20" t="inlineStr">
        <is>
          <t>Главный риск</t>
        </is>
      </c>
      <c r="B11" s="20">
        <f>IF(B9="","Недостаточно данных",IF(B6+B8&gt;0,"Есть критичные шоки или зависимости",IF(B9&lt;50,"C-level-ядро не держит нагрузку",IF(B9&lt;75,"Есть значимые разрывы резервов или Recovery Loop","Разрывы локальны"))))</f>
        <v/>
      </c>
      <c r="C11" s="20" t="inlineStr">
        <is>
          <t>Автовывод</t>
        </is>
      </c>
      <c r="D11" s="20" t="inlineStr">
        <is>
          <t>Score + критичные зоны</t>
        </is>
      </c>
      <c r="E11" s="20" t="str"/>
      <c r="F11" s="18" t="n"/>
      <c r="G11" s="18" t="n"/>
      <c r="H11" s="18" t="n"/>
      <c r="I11" s="18" t="n"/>
    </row>
    <row r="12">
      <c r="A12" s="20" t="inlineStr">
        <is>
          <t>Рекомендуемый следующий блок</t>
        </is>
      </c>
      <c r="B12" s="20">
        <f>'05_Отчет'!B9</f>
        <v/>
      </c>
      <c r="C12" s="20" t="inlineStr">
        <is>
          <t>Ручной выбор</t>
        </is>
      </c>
      <c r="D12" s="20" t="inlineStr">
        <is>
          <t>05_Отчет</t>
        </is>
      </c>
      <c r="E12" s="20" t="str"/>
      <c r="F12" s="18" t="n"/>
      <c r="G12" s="18" t="n"/>
      <c r="H12" s="18" t="n"/>
      <c r="I12" s="18" t="n"/>
    </row>
    <row r="13">
      <c r="A13" s="20" t="inlineStr">
        <is>
          <t>Дата обновления</t>
        </is>
      </c>
      <c r="B13" s="20">
        <f>IF('01_Ввод'!B5="","",'01_Ввод'!B5)</f>
        <v/>
      </c>
      <c r="C13" s="20" t="inlineStr">
        <is>
          <t>Дата</t>
        </is>
      </c>
      <c r="D13" s="20" t="inlineStr">
        <is>
          <t>01_Ввод</t>
        </is>
      </c>
      <c r="E13" s="20" t="str"/>
      <c r="F13" s="18" t="n"/>
      <c r="G13" s="18" t="n"/>
      <c r="H13" s="18" t="n"/>
      <c r="I13" s="18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6" customWidth="1" style="1" min="2" max="2"/>
    <col width="38" customWidth="1" style="1" min="3" max="3"/>
    <col width="38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7" t="inlineStr">
        <is>
          <t>Отчёт Блока 7</t>
        </is>
      </c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</row>
    <row r="3">
      <c r="A3" s="26" t="inlineStr">
        <is>
          <t>Поле</t>
        </is>
      </c>
      <c r="B3" s="26" t="inlineStr">
        <is>
          <t>Вывод</t>
        </is>
      </c>
      <c r="C3" s="18" t="n"/>
      <c r="D3" s="18" t="n"/>
      <c r="E3" s="18" t="n"/>
      <c r="F3" s="25" t="inlineStr">
        <is>
          <t>Формула вывода</t>
        </is>
      </c>
    </row>
    <row r="4">
      <c r="A4" s="20" t="inlineStr">
        <is>
          <t>Клиент</t>
        </is>
      </c>
      <c r="B4" s="20">
        <f>IF('01_Ввод'!B4="","",'01_Ввод'!B4)</f>
        <v/>
      </c>
      <c r="C4" s="18" t="n"/>
      <c r="D4" s="18" t="n"/>
      <c r="E4" s="18" t="n"/>
      <c r="F4" s="27" t="inlineStr">
        <is>
          <t>Шок → сломанное решение → критическая зависимость → резерв → Recovery Loop / контур восстановления → следующий блок CLM.</t>
        </is>
      </c>
      <c r="G4" s="33" t="n"/>
      <c r="H4" s="34" t="n"/>
    </row>
    <row r="5">
      <c r="A5" s="20" t="inlineStr">
        <is>
          <t>Resilience Score</t>
        </is>
      </c>
      <c r="B5" s="23">
        <f>'04_Расчет'!B9</f>
        <v/>
      </c>
      <c r="C5" s="18" t="n"/>
      <c r="D5" s="18" t="n"/>
      <c r="E5" s="18" t="n"/>
      <c r="F5" s="18" t="n"/>
      <c r="G5" s="18" t="n"/>
      <c r="H5" s="18" t="n"/>
    </row>
    <row r="6">
      <c r="A6" s="20" t="inlineStr">
        <is>
          <t>Статус</t>
        </is>
      </c>
      <c r="B6" s="20">
        <f>'04_Расчет'!B10</f>
        <v/>
      </c>
      <c r="C6" s="18" t="n"/>
      <c r="D6" s="18" t="n"/>
      <c r="E6" s="18" t="n"/>
      <c r="F6" s="18" t="n"/>
      <c r="G6" s="18" t="n"/>
      <c r="H6" s="18" t="n"/>
    </row>
    <row r="7">
      <c r="A7" s="20" t="inlineStr">
        <is>
          <t>Главный риск</t>
        </is>
      </c>
      <c r="B7" s="20">
        <f>'04_Расчет'!B11</f>
        <v/>
      </c>
      <c r="C7" s="18" t="n"/>
      <c r="D7" s="18" t="n"/>
      <c r="E7" s="18" t="n"/>
      <c r="F7" s="18" t="n"/>
      <c r="G7" s="18" t="n"/>
      <c r="H7" s="18" t="n"/>
    </row>
    <row r="8">
      <c r="A8" s="20" t="inlineStr">
        <is>
          <t>Рекомендуемый следующий блок</t>
        </is>
      </c>
      <c r="B8" s="31" t="str"/>
      <c r="C8" s="18" t="n"/>
      <c r="D8" s="18" t="n"/>
      <c r="E8" s="18" t="n"/>
      <c r="F8" s="18" t="n"/>
      <c r="G8" s="18" t="n"/>
      <c r="H8" s="18" t="n"/>
    </row>
    <row r="9">
      <c r="A9" s="20" t="inlineStr">
        <is>
          <t>Комментарий консультанта</t>
        </is>
      </c>
      <c r="B9" s="31" t="str"/>
      <c r="C9" s="18" t="n"/>
      <c r="D9" s="18" t="n"/>
      <c r="E9" s="18" t="n"/>
      <c r="F9" s="18" t="n"/>
      <c r="G9" s="18" t="n"/>
      <c r="H9" s="18" t="n"/>
    </row>
    <row r="10">
      <c r="A10" s="20" t="inlineStr">
        <is>
          <t>Первое действие 48 часов</t>
        </is>
      </c>
      <c r="B10" s="31" t="str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24" t="inlineStr">
        <is>
          <t>Решение для 4 сторон</t>
        </is>
      </c>
      <c r="E12" s="18" t="n"/>
      <c r="F12" s="18" t="n"/>
      <c r="G12" s="18" t="n"/>
      <c r="H12" s="18" t="n"/>
    </row>
    <row r="13">
      <c r="A13" s="19" t="inlineStr">
        <is>
          <t>Сторона</t>
        </is>
      </c>
      <c r="B13" s="19" t="inlineStr">
        <is>
          <t>Что показать</t>
        </is>
      </c>
      <c r="C13" s="19" t="inlineStr">
        <is>
          <t>Что не включать</t>
        </is>
      </c>
      <c r="D13" s="19" t="inlineStr">
        <is>
          <t>Решение</t>
        </is>
      </c>
      <c r="E13" s="18" t="n"/>
      <c r="F13" s="18" t="n"/>
      <c r="G13" s="18" t="n"/>
      <c r="H13" s="18" t="n"/>
    </row>
    <row r="14">
      <c r="A14" s="20" t="inlineStr">
        <is>
          <t>CEO / генеральный директор</t>
        </is>
      </c>
      <c r="B14" s="20" t="inlineStr">
        <is>
          <t>Какие шоки и зависимости угрожают управляемости</t>
        </is>
      </c>
      <c r="C14" s="20" t="inlineStr">
        <is>
          <t>Панический список всех возможных кризисов</t>
        </is>
      </c>
      <c r="D14" s="31" t="str"/>
      <c r="E14" s="18" t="n"/>
      <c r="F14" s="18" t="n"/>
      <c r="G14" s="18" t="n"/>
      <c r="H14" s="18" t="n"/>
    </row>
    <row r="15">
      <c r="A15" s="20" t="inlineStr">
        <is>
          <t>C-level-команда / первый управленческий круг</t>
        </is>
      </c>
      <c r="B15" s="20" t="inlineStr">
        <is>
          <t>Резервы, Recovery Loop / контур восстановления и кризисный ритм</t>
        </is>
      </c>
      <c r="C15" s="20" t="inlineStr">
        <is>
          <t>Виноватых за потенциальный сбой</t>
        </is>
      </c>
      <c r="D15" s="31" t="str"/>
      <c r="E15" s="18" t="n"/>
      <c r="F15" s="18" t="n"/>
      <c r="G15" s="18" t="n"/>
      <c r="H15" s="18" t="n"/>
    </row>
    <row r="16">
      <c r="A16" s="20" t="inlineStr">
        <is>
          <t>Владелец компании</t>
        </is>
      </c>
      <c r="B16" s="20" t="inlineStr">
        <is>
          <t>Критические зависимости и риск потери управляемости</t>
        </is>
      </c>
      <c r="C16" s="20" t="inlineStr">
        <is>
          <t>Операционные мелочи без системного риска</t>
        </is>
      </c>
      <c r="D16" s="31" t="str"/>
      <c r="E16" s="18" t="n"/>
      <c r="F16" s="18" t="n"/>
      <c r="G16" s="18" t="n"/>
      <c r="H16" s="18" t="n"/>
    </row>
    <row r="17">
      <c r="A17" s="20" t="inlineStr">
        <is>
          <t>Board / совет директоров</t>
        </is>
      </c>
      <c r="B17" s="20" t="inlineStr">
        <is>
          <t>Статус устойчивости и лидерские риски для Блока 8</t>
        </is>
      </c>
      <c r="C17" s="20" t="inlineStr">
        <is>
          <t>Непроверенные сценарные фантазии</t>
        </is>
      </c>
      <c r="D17" s="31" t="str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24" t="inlineStr">
        <is>
          <t>План 48 часов / 30 / 90</t>
        </is>
      </c>
      <c r="E19" s="18" t="n"/>
      <c r="F19" s="18" t="n"/>
      <c r="G19" s="18" t="n"/>
      <c r="H19" s="18" t="n"/>
    </row>
    <row r="20">
      <c r="A20" s="19" t="inlineStr">
        <is>
          <t>Горизонт</t>
        </is>
      </c>
      <c r="B20" s="19" t="inlineStr">
        <is>
          <t>Цель</t>
        </is>
      </c>
      <c r="C20" s="19" t="inlineStr">
        <is>
          <t>Действие</t>
        </is>
      </c>
      <c r="D20" s="19" t="inlineStr">
        <is>
          <t>Метрика</t>
        </is>
      </c>
      <c r="E20" s="18" t="n"/>
      <c r="F20" s="18" t="n"/>
      <c r="G20" s="18" t="n"/>
      <c r="H20" s="18" t="n"/>
    </row>
    <row r="21">
      <c r="A21" s="20" t="inlineStr">
        <is>
          <t>48 часов</t>
        </is>
      </c>
      <c r="B21" s="20" t="inlineStr">
        <is>
          <t>Увидеть шок и включить кризисный ритм</t>
        </is>
      </c>
      <c r="C21" s="31" t="str"/>
      <c r="D21" s="31" t="str"/>
      <c r="E21" s="18" t="n"/>
      <c r="F21" s="18" t="n"/>
      <c r="G21" s="18" t="n"/>
      <c r="H21" s="18" t="n"/>
    </row>
    <row r="22">
      <c r="A22" s="20" t="inlineStr">
        <is>
          <t>30 дней</t>
        </is>
      </c>
      <c r="B22" s="20" t="inlineStr">
        <is>
          <t>Закрыть критические зависимости и резервы</t>
        </is>
      </c>
      <c r="C22" s="31" t="str"/>
      <c r="D22" s="31" t="str"/>
      <c r="E22" s="18" t="n"/>
      <c r="F22" s="18" t="n"/>
      <c r="G22" s="18" t="n"/>
      <c r="H22" s="18" t="n"/>
    </row>
    <row r="23">
      <c r="A23" s="20" t="inlineStr">
        <is>
          <t>90 дней</t>
        </is>
      </c>
      <c r="B23" s="20" t="inlineStr">
        <is>
          <t>Закрепить Recovery Loop и передать лидерские риски в Блок 8</t>
        </is>
      </c>
      <c r="C23" s="31" t="str"/>
      <c r="D23" s="31" t="str"/>
      <c r="E23" s="18" t="n"/>
      <c r="F23" s="18" t="n"/>
      <c r="G23" s="18" t="n"/>
      <c r="H23" s="18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8" showDropDown="0" showInputMessage="0" showErrorMessage="0" allowBlank="0" type="list">
      <formula1>"Блок 8,Блок 9,Блок 10,Блок 11,Блок 12"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30" customWidth="1" style="1" min="1" max="1"/>
    <col width="78" customWidth="1" style="1" min="2" max="2"/>
    <col width="4" customWidth="1" style="1" min="3" max="3"/>
    <col width="10" customWidth="1" style="1" min="4" max="4"/>
    <col width="10" customWidth="1" style="1" min="5" max="5"/>
    <col width="16" customWidth="1" style="1" min="6" max="6"/>
    <col width="4" customWidth="1" style="1" min="7" max="7"/>
    <col width="18" customWidth="1" style="1" min="8" max="8"/>
    <col width="76" customWidth="1" style="1" min="9" max="9"/>
  </cols>
  <sheetData>
    <row r="1">
      <c r="A1" s="19" t="inlineStr">
        <is>
          <t>Тип шока</t>
        </is>
      </c>
      <c r="B1" s="19" t="inlineStr">
        <is>
          <t>Описание</t>
        </is>
      </c>
      <c r="C1" s="17" t="n"/>
      <c r="D1" s="26" t="inlineStr">
        <is>
          <t>Оценка</t>
        </is>
      </c>
      <c r="E1" s="26" t="inlineStr">
        <is>
          <t>Риск</t>
        </is>
      </c>
      <c r="F1" s="26" t="inlineStr">
        <is>
          <t>Статус</t>
        </is>
      </c>
      <c r="G1" s="17" t="n"/>
      <c r="H1" s="26" t="inlineStr">
        <is>
          <t>Следующий блок</t>
        </is>
      </c>
      <c r="I1" s="26" t="inlineStr">
        <is>
          <t>Когда нужен</t>
        </is>
      </c>
    </row>
    <row r="2">
      <c r="A2" s="20" t="inlineStr">
        <is>
          <t>Денежный шок</t>
        </is>
      </c>
      <c r="B2" s="20" t="inlineStr">
        <is>
          <t>Кассовый разрыв, долговой стресс, дефицит ликвидности</t>
        </is>
      </c>
      <c r="C2" s="18" t="n"/>
      <c r="D2" s="20" t="n">
        <v>0</v>
      </c>
      <c r="E2" s="20" t="n">
        <v>0</v>
      </c>
      <c r="F2" s="20" t="inlineStr">
        <is>
          <t>ОК</t>
        </is>
      </c>
      <c r="G2" s="18" t="n"/>
      <c r="H2" s="20" t="inlineStr">
        <is>
          <t>Блок 8</t>
        </is>
      </c>
      <c r="I2" s="20" t="inlineStr">
        <is>
          <t>Переход от ручного контроля к мандатам.</t>
        </is>
      </c>
    </row>
    <row r="3">
      <c r="A3" s="20" t="inlineStr">
        <is>
          <t>Рыночный шок</t>
        </is>
      </c>
      <c r="B3" s="20" t="inlineStr">
        <is>
          <t>Падение спроса, потеря канала, изменение поведения клиента</t>
        </is>
      </c>
      <c r="C3" s="18" t="n"/>
      <c r="D3" s="20" t="n">
        <v>1</v>
      </c>
      <c r="E3" s="20" t="n">
        <v>1</v>
      </c>
      <c r="F3" s="20" t="inlineStr">
        <is>
          <t>Разрыв</t>
        </is>
      </c>
      <c r="G3" s="18" t="n"/>
      <c r="H3" s="20" t="inlineStr">
        <is>
          <t>Блок 9</t>
        </is>
      </c>
      <c r="I3" s="20" t="inlineStr">
        <is>
          <t>Проверка AI / ИИ-допуска и контроля.</t>
        </is>
      </c>
    </row>
    <row r="4">
      <c r="A4" s="20" t="inlineStr">
        <is>
          <t>Операционный сбой</t>
        </is>
      </c>
      <c r="B4" s="20" t="inlineStr">
        <is>
          <t>Производство, логистика, качество, нарушение сроков</t>
        </is>
      </c>
      <c r="C4" s="18" t="n"/>
      <c r="D4" s="20" t="n">
        <v>2</v>
      </c>
      <c r="E4" s="20" t="n">
        <v>2</v>
      </c>
      <c r="F4" s="20" t="inlineStr">
        <is>
          <t>Критично</t>
        </is>
      </c>
      <c r="G4" s="18" t="n"/>
      <c r="H4" s="20" t="inlineStr">
        <is>
          <t>Блок 10</t>
        </is>
      </c>
      <c r="I4" s="20" t="inlineStr">
        <is>
          <t>Передать сигналы в панель управляемости.</t>
        </is>
      </c>
    </row>
    <row r="5">
      <c r="A5" s="20" t="inlineStr">
        <is>
          <t>Кадровый шок</t>
        </is>
      </c>
      <c r="B5" s="20" t="inlineStr">
        <is>
          <t>Потеря ключевого лидера, конфликт, перегруз команды</t>
        </is>
      </c>
      <c r="C5" s="18" t="n"/>
      <c r="D5" s="20" t="n">
        <v>3</v>
      </c>
      <c r="E5" s="20" t="n">
        <v>3</v>
      </c>
      <c r="F5" s="20" t="n"/>
      <c r="G5" s="18" t="n"/>
      <c r="H5" s="20" t="inlineStr">
        <is>
          <t>Блок 11</t>
        </is>
      </c>
      <c r="I5" s="20" t="inlineStr">
        <is>
          <t>Собрать дорожную карту устойчивости.</t>
        </is>
      </c>
    </row>
    <row r="6">
      <c r="A6" s="20" t="inlineStr">
        <is>
          <t>AI / ИИ или технологический сбой</t>
        </is>
      </c>
      <c r="B6" s="20" t="inlineStr">
        <is>
          <t>Данные, системы, безопасность, автоматизация</t>
        </is>
      </c>
      <c r="C6" s="18" t="n"/>
      <c r="D6" s="18" t="n"/>
      <c r="E6" s="18" t="n"/>
      <c r="F6" s="18" t="n"/>
      <c r="G6" s="18" t="n"/>
      <c r="H6" s="20" t="inlineStr">
        <is>
          <t>Блок 12</t>
        </is>
      </c>
      <c r="I6" s="20" t="inlineStr">
        <is>
          <t>Закрепить артефакты восстановления.</t>
        </is>
      </c>
    </row>
    <row r="7">
      <c r="A7" s="20" t="inlineStr">
        <is>
          <t>Регуляторный / правовой шок</t>
        </is>
      </c>
      <c r="B7" s="20" t="inlineStr">
        <is>
          <t>Комплаенс, проверки, ограничения, юридический риск</t>
        </is>
      </c>
      <c r="C7" s="18" t="n"/>
      <c r="D7" s="18" t="n"/>
      <c r="E7" s="18" t="n"/>
      <c r="F7" s="18" t="n"/>
      <c r="G7" s="18" t="n"/>
      <c r="H7" s="18" t="n"/>
      <c r="I7" s="18" t="n"/>
    </row>
    <row r="8">
      <c r="A8" s="20" t="inlineStr">
        <is>
          <t>Репутационный шок</t>
        </is>
      </c>
      <c r="B8" s="20" t="inlineStr">
        <is>
          <t>Публичный конфликт, клиентский инцидент, доверие рынка</t>
        </is>
      </c>
      <c r="C8" s="18" t="n"/>
      <c r="D8" s="18" t="n"/>
      <c r="E8" s="18" t="n"/>
      <c r="F8" s="18" t="n"/>
      <c r="G8" s="18" t="n"/>
      <c r="H8" s="18" t="n"/>
      <c r="I8" s="18" t="n"/>
    </row>
    <row r="9">
      <c r="A9" s="20" t="inlineStr">
        <is>
          <t>Партнёрский шок</t>
        </is>
      </c>
      <c r="B9" s="20" t="inlineStr">
        <is>
          <t>Поставщик, подрядчик, банк, платформа, критичный внешний контур</t>
        </is>
      </c>
      <c r="C9" s="18" t="n"/>
      <c r="D9" s="18" t="n"/>
      <c r="E9" s="18" t="n"/>
      <c r="F9" s="18" t="n"/>
      <c r="G9" s="18" t="n"/>
      <c r="H9" s="18" t="n"/>
      <c r="I9" s="18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CLM_BLOCK_07_RESILIENCE_MODULE_RELEASE_V1_LIGHT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2026-07-07T14:20:15Z</dcterms:created>
  <dcterms:modified xmlns:dcterms="http://purl.org/dc/terms/" xmlns:xsi="http://www.w3.org/2001/XMLSchema-instance" xsi:type="dcterms:W3CDTF">2026-07-21T08:33:50Z</dcterms:modified>
</cp:coreProperties>
</file>