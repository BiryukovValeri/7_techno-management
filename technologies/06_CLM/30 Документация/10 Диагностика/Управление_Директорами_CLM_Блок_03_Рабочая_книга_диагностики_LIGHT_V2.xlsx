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Роли_мандаты" sheetId="3" state="visible" r:id="rId3"/>
    <sheet xmlns:r="http://schemas.openxmlformats.org/officeDocument/2006/relationships" name="03_Решения_данные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7">
    <font>
      <name val="Carlito"/>
      <sz val="11"/>
    </font>
    <font>
      <name val="Carlito"/>
      <b val="1"/>
      <color rgb="FF0B1F33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Arial"/>
      <b val="1"/>
      <color rgb="000B1F33"/>
      <sz val="11"/>
    </font>
    <font>
      <name val="Arial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F3EBDD"/>
      </patternFill>
    </fill>
    <fill>
      <patternFill patternType="solid">
        <fgColor rgb="00FFF7ED"/>
      </patternFill>
    </fill>
  </fills>
  <borders count="8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9" fontId="2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2" fillId="0" borderId="1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3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164" fontId="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5" authorId="0" shapeId="0">
      <text>
        <t>Итоговый показатель появляется после заполнения ролей/мандатов и решений/данных. Пустой шаблон не должен давать ложный вывод.</t>
      </text>
    </comment>
    <comment ref="B7" authorId="0" shapeId="0">
      <text>
        <t>Выбирается на листе 05_Отчет после анализа главного разрыва.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компании или проекта диагностики.</t>
      </text>
    </comment>
    <comment ref="B5" authorId="0" shapeId="0">
      <text>
        <t>Дата начала диагностики. Формат: год-месяц-день.</t>
      </text>
    </comment>
    <comment ref="B6" authorId="0" shapeId="0">
      <text>
        <t>Выберите 7, 15 или 23. Это не число директоров, а глубина разделения мандатов.</t>
      </text>
    </comment>
    <comment ref="B7" authorId="0" shapeId="0">
      <text>
        <t>1 — простая компания; 5 — высокая сложность: много рынков, функций, решений, рисков, AI / ИИ и данных.</t>
      </text>
    </comment>
    <comment ref="B8" authorId="0" shapeId="0">
      <text>
        <t>Коротко: какой симптом заставил запускать диагностику. Например: решения возвращаются к CEO, спор о данных, нет владельца AI / ИИ.</t>
      </text>
    </comment>
    <comment ref="B9" authorId="0" shapeId="0">
      <text>
        <t>Кто отвечает за заполнение и итоговый вывод.</t>
      </text>
    </comment>
    <comment ref="B10" authorId="0" shapeId="0">
      <text>
        <t>Только важные ограничения: неполные данные, спорные роли, недоступные интервью.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D4" authorId="0" shapeId="0">
      <text>
        <t>Выделена — отдельная роль. Совмещена — мандат держит другой руководитель. Нет — роль и мандат не видны.</t>
      </text>
    </comment>
    <comment ref="E4" authorId="0" shapeId="0">
      <text>
        <t>Укажите человека или роль, которая фактически отвечает за мандат. Не пишите отдел без владельца.</t>
      </text>
    </comment>
    <comment ref="F4" authorId="0" shapeId="0">
      <text>
        <t>0 — мандат не ясен; 1 — частично; 2 — в целом ясен; 3 — ясен, принят и проверяется.</t>
      </text>
    </comment>
    <comment ref="G4" authorId="0" shapeId="0">
      <text>
        <t>0 — нет права решения; 3 — право решения закреплено и признаётся командой.</t>
      </text>
    </comment>
    <comment ref="H4" authorId="0" shapeId="0">
      <text>
        <t>0 — риска нет; 3 — высокий риск потери функции или возврата к CEO.</t>
      </text>
    </comment>
    <comment ref="I4" authorId="0" shapeId="0">
      <text>
        <t>Факт, источник или короткий комментарий. Не писать общую оценку без доказательства.</t>
      </text>
    </comment>
    <comment ref="J4" authorId="0" shapeId="0">
      <text>
        <t>Автоматический балл. Не заполнять вручную.</t>
      </text>
    </comment>
    <comment ref="D5" authorId="0" shapeId="0">
      <text>
        <t>Выберите статус роли. Если роль совмещена, владелец мандата обязателен.</t>
      </text>
    </comment>
    <comment ref="F5" authorId="0" shapeId="0">
      <text>
        <t>Оценка 0-3. Ставьте 3 только при наличии понятного владельца, права решения и ритма контроля.</t>
      </text>
    </comment>
    <comment ref="D6" authorId="0" shapeId="0">
      <text>
        <t>Выберите статус роли. Если роль совмещена, владелец мандата обязателен.</t>
      </text>
    </comment>
    <comment ref="F6" authorId="0" shapeId="0">
      <text>
        <t>Оценка 0-3. Ставьте 3 только при наличии понятного владельца, права решения и ритма контроля.</t>
      </text>
    </comment>
    <comment ref="D7" authorId="0" shapeId="0">
      <text>
        <t>Выберите статус роли. Если роль совмещена, владелец мандата обязателен.</t>
      </text>
    </comment>
    <comment ref="F7" authorId="0" shapeId="0">
      <text>
        <t>Оценка 0-3. Ставьте 3 только при наличии понятного владельца, права решения и ритма контроля.</t>
      </text>
    </comment>
    <comment ref="D8" authorId="0" shapeId="0">
      <text>
        <t>Выберите статус роли. Если роль совмещена, владелец мандата обязателен.</t>
      </text>
    </comment>
    <comment ref="F8" authorId="0" shapeId="0">
      <text>
        <t>Оценка 0-3. Ставьте 3 только при наличии понятного владельца, права решения и ритма контроля.</t>
      </text>
    </comment>
    <comment ref="D9" authorId="0" shapeId="0">
      <text>
        <t>Выберите статус роли. Если роль совмещена, владелец мандата обязателен.</t>
      </text>
    </comment>
    <comment ref="F9" authorId="0" shapeId="0">
      <text>
        <t>Оценка 0-3. Ставьте 3 только при наличии понятного владельца, права решения и ритма контроля.</t>
      </text>
    </comment>
    <comment ref="D10" authorId="0" shapeId="0">
      <text>
        <t>Выберите статус роли. Если роль совмещена, владелец мандата обязателен.</t>
      </text>
    </comment>
    <comment ref="F10" authorId="0" shapeId="0">
      <text>
        <t>Оценка 0-3. Ставьте 3 только при наличии понятного владельца, права решения и ритма контроля.</t>
      </text>
    </comment>
    <comment ref="D11" authorId="0" shapeId="0">
      <text>
        <t>Выберите статус роли. Если роль совмещена, владелец мандата обязателен.</t>
      </text>
    </comment>
    <comment ref="F11" authorId="0" shapeId="0">
      <text>
        <t>Оценка 0-3. Ставьте 3 только при наличии понятного владельца, права решения и ритма контроля.</t>
      </text>
    </comment>
    <comment ref="D12" authorId="0" shapeId="0">
      <text>
        <t>Выберите статус роли. Если роль совмещена, владелец мандата обязателен.</t>
      </text>
    </comment>
    <comment ref="F12" authorId="0" shapeId="0">
      <text>
        <t>Оценка 0-3. Ставьте 3 только при наличии понятного владельца, права решения и ритма контроля.</t>
      </text>
    </comment>
    <comment ref="D13" authorId="0" shapeId="0">
      <text>
        <t>Выберите статус роли. Если роль совмещена, владелец мандата обязателен.</t>
      </text>
    </comment>
    <comment ref="F13" authorId="0" shapeId="0">
      <text>
        <t>Оценка 0-3. Ставьте 3 только при наличии понятного владельца, права решения и ритма контроля.</t>
      </text>
    </comment>
    <comment ref="D14" authorId="0" shapeId="0">
      <text>
        <t>Выберите статус роли. Если роль совмещена, владелец мандата обязателен.</t>
      </text>
    </comment>
    <comment ref="F14" authorId="0" shapeId="0">
      <text>
        <t>Оценка 0-3. Ставьте 3 только при наличии понятного владельца, права решения и ритма контроля.</t>
      </text>
    </comment>
    <comment ref="D15" authorId="0" shapeId="0">
      <text>
        <t>Выберите статус роли. Если роль совмещена, владелец мандата обязателен.</t>
      </text>
    </comment>
    <comment ref="F15" authorId="0" shapeId="0">
      <text>
        <t>Оценка 0-3. Ставьте 3 только при наличии понятного владельца, права решения и ритма контроля.</t>
      </text>
    </comment>
    <comment ref="D16" authorId="0" shapeId="0">
      <text>
        <t>Выберите статус роли. Если роль совмещена, владелец мандата обязателен.</t>
      </text>
    </comment>
    <comment ref="F16" authorId="0" shapeId="0">
      <text>
        <t>Оценка 0-3. Ставьте 3 только при наличии понятного владельца, права решения и ритма контроля.</t>
      </text>
    </comment>
    <comment ref="D17" authorId="0" shapeId="0">
      <text>
        <t>Выберите статус роли. Если роль совмещена, владелец мандата обязателен.</t>
      </text>
    </comment>
    <comment ref="F17" authorId="0" shapeId="0">
      <text>
        <t>Оценка 0-3. Ставьте 3 только при наличии понятного владельца, права решения и ритма контроля.</t>
      </text>
    </comment>
    <comment ref="D18" authorId="0" shapeId="0">
      <text>
        <t>Выберите статус роли. Если роль совмещена, владелец мандата обязателен.</t>
      </text>
    </comment>
    <comment ref="F18" authorId="0" shapeId="0">
      <text>
        <t>Оценка 0-3. Ставьте 3 только при наличии понятного владельца, права решения и ритма контроля.</t>
      </text>
    </comment>
    <comment ref="D19" authorId="0" shapeId="0">
      <text>
        <t>Выберите статус роли. Если роль совмещена, владелец мандата обязателен.</t>
      </text>
    </comment>
    <comment ref="F19" authorId="0" shapeId="0">
      <text>
        <t>Оценка 0-3. Ставьте 3 только при наличии понятного владельца, права решения и ритма контроля.</t>
      </text>
    </comment>
    <comment ref="D20" authorId="0" shapeId="0">
      <text>
        <t>Выберите статус роли. Если роль совмещена, владелец мандата обязателен.</t>
      </text>
    </comment>
    <comment ref="F20" authorId="0" shapeId="0">
      <text>
        <t>Оценка 0-3. Ставьте 3 только при наличии понятного владельца, права решения и ритма контроля.</t>
      </text>
    </comment>
    <comment ref="D21" authorId="0" shapeId="0">
      <text>
        <t>Выберите статус роли. Если роль совмещена, владелец мандата обязателен.</t>
      </text>
    </comment>
    <comment ref="F21" authorId="0" shapeId="0">
      <text>
        <t>Оценка 0-3. Ставьте 3 только при наличии понятного владельца, права решения и ритма контроля.</t>
      </text>
    </comment>
    <comment ref="D22" authorId="0" shapeId="0">
      <text>
        <t>Выберите статус роли. Если роль совмещена, владелец мандата обязателен.</t>
      </text>
    </comment>
    <comment ref="F22" authorId="0" shapeId="0">
      <text>
        <t>Оценка 0-3. Ставьте 3 только при наличии понятного владельца, права решения и ритма контроля.</t>
      </text>
    </comment>
    <comment ref="D23" authorId="0" shapeId="0">
      <text>
        <t>Выберите статус роли. Если роль совмещена, владелец мандата обязателен.</t>
      </text>
    </comment>
    <comment ref="F23" authorId="0" shapeId="0">
      <text>
        <t>Оценка 0-3. Ставьте 3 только при наличии понятного владельца, права решения и ритма контроля.</t>
      </text>
    </comment>
    <comment ref="D24" authorId="0" shapeId="0">
      <text>
        <t>Выберите статус роли. Если роль совмещена, владелец мандата обязателен.</t>
      </text>
    </comment>
    <comment ref="F24" authorId="0" shapeId="0">
      <text>
        <t>Оценка 0-3. Ставьте 3 только при наличии понятного владельца, права решения и ритма контроля.</t>
      </text>
    </comment>
    <comment ref="D25" authorId="0" shapeId="0">
      <text>
        <t>Выберите статус роли. Если роль совмещена, владелец мандата обязателен.</t>
      </text>
    </comment>
    <comment ref="F25" authorId="0" shapeId="0">
      <text>
        <t>Оценка 0-3. Ставьте 3 только при наличии понятного владельца, права решения и ритма контроля.</t>
      </text>
    </comment>
    <comment ref="D26" authorId="0" shapeId="0">
      <text>
        <t>Выберите статус роли. Если роль совмещена, владелец мандата обязателен.</t>
      </text>
    </comment>
    <comment ref="F26" authorId="0" shapeId="0">
      <text>
        <t>Оценка 0-3. Ставьте 3 только при наличии понятного владельца, права решения и ритма контроля.</t>
      </text>
    </comment>
    <comment ref="D27" authorId="0" shapeId="0">
      <text>
        <t>Выберите статус роли. Если роль совмещена, владелец мандата обязателен.</t>
      </text>
    </comment>
    <comment ref="F27" authorId="0" shapeId="0">
      <text>
        <t>Оценка 0-3. Ставьте 3 только при наличии понятного владельца, права решения и ритма контроля.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C4" authorId="0" shapeId="0">
      <text>
        <t>Кто фактически отвечает за этот слой проверки.</t>
      </text>
    </comment>
    <comment ref="D4" authorId="0" shapeId="0">
      <text>
        <t>0 — слой отсутствует; 1 — есть фрагменты; 2 — работает нестабильно; 3 — работает и подтверждается источниками.</t>
      </text>
    </comment>
    <comment ref="E4" authorId="0" shapeId="0">
      <text>
        <t>Источник обязателен: интервью, протокол, регламент, панель, артефакт, наблюдение.</t>
      </text>
    </comment>
    <comment ref="G4" authorId="0" shapeId="0">
      <text>
        <t>Автоматически повторяет оценку. Не заполнять вручную.</t>
      </text>
    </comment>
    <comment ref="D5" authorId="0" shapeId="0">
      <text>
        <t>Оценка без источника не считается. Если не знаете — оставьте пусто.</t>
      </text>
    </comment>
    <comment ref="E5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6" authorId="0" shapeId="0">
      <text>
        <t>Оценка без источника не считается. Если не знаете — оставьте пусто.</t>
      </text>
    </comment>
    <comment ref="E6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7" authorId="0" shapeId="0">
      <text>
        <t>Оценка без источника не считается. Если не знаете — оставьте пусто.</t>
      </text>
    </comment>
    <comment ref="E7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8" authorId="0" shapeId="0">
      <text>
        <t>Оценка без источника не считается. Если не знаете — оставьте пусто.</t>
      </text>
    </comment>
    <comment ref="E8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9" authorId="0" shapeId="0">
      <text>
        <t>Оценка без источника не считается. Если не знаете — оставьте пусто.</t>
      </text>
    </comment>
    <comment ref="E9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10" authorId="0" shapeId="0">
      <text>
        <t>Оценка без источника не считается. Если не знаете — оставьте пусто.</t>
      </text>
    </comment>
    <comment ref="E10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11" authorId="0" shapeId="0">
      <text>
        <t>Оценка без источника не считается. Если не знаете — оставьте пусто.</t>
      </text>
    </comment>
    <comment ref="E11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12" authorId="0" shapeId="0">
      <text>
        <t>Оценка без источника не считается. Если не знаете — оставьте пусто.</t>
      </text>
    </comment>
    <comment ref="E12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13" authorId="0" shapeId="0">
      <text>
        <t>Оценка без источника не считается. Если не знаете — оставьте пусто.</t>
      </text>
    </comment>
    <comment ref="E13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14" authorId="0" shapeId="0">
      <text>
        <t>Оценка без источника не считается. Если не знаете — оставьте пусто.</t>
      </text>
    </comment>
    <comment ref="E14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15" authorId="0" shapeId="0">
      <text>
        <t>Оценка без источника не считается. Если не знаете — оставьте пусто.</t>
      </text>
    </comment>
    <comment ref="E15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  <comment ref="D16" authorId="0" shapeId="0">
      <text>
        <t>Оценка без источника не считается. Если не знаете — оставьте пусто.</t>
      </text>
    </comment>
    <comment ref="E16" authorId="0" shapeId="0">
      <text>
        <t>Укажите источник факта. Например: интервью CEO, протокол совещания, CRM, BI / бизнес-аналитика, финансовая отчетность.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Выберите следующий блок CLM по главному разрыву. Не выбирайте блок по вкусу консультанта.</t>
      </text>
    </comment>
    <comment ref="B9" authorId="0" shapeId="0">
      <text>
        <t>Короткий вывод: что сломано, почему это риск, какой следующий шаг.</t>
      </text>
    </comment>
    <comment ref="D13" authorId="0" shapeId="0">
      <text>
        <t>Короткое решение для этой стороны: что надо сделать, кто владелец, какой срок.</t>
      </text>
    </comment>
    <comment ref="D14" authorId="0" shapeId="0">
      <text>
        <t>Короткое решение для этой стороны: что надо сделать, кто владелец, какой срок.</t>
      </text>
    </comment>
    <comment ref="D15" authorId="0" shapeId="0">
      <text>
        <t>Короткое решение для этой стороны: что надо сделать, кто владелец, какой срок.</t>
      </text>
    </comment>
    <comment ref="D16" authorId="0" shapeId="0">
      <text>
        <t>Короткое решение для этой стороны: что надо сделать, кто владелец, какой срок.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Справочник нужен для подстановок и проверки. В обычной работе его не заполняют.</t>
      </text>
    </comment>
    <comment ref="F1" authorId="0" shapeId="0">
      <text>
        <t>Список статусов роли для листа 02_Роли_мандаты.</t>
      </text>
    </comment>
    <comment ref="G1" authorId="0" shapeId="0">
      <text>
        <t>Шкала 0-3 для оценок. Не заменять на длинные шкалы без причины.</t>
      </text>
    </comment>
    <comment ref="H1" authorId="0" shapeId="0">
      <text>
        <t>Модели CLM: 7 / 15 / 23.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2" customWidth="1" style="1" min="2" max="2"/>
    <col width="22" customWidth="1" style="1" min="3" max="3"/>
    <col width="56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9" t="inlineStr">
        <is>
          <t>CLM Блок 3. Диагностическая панель</t>
        </is>
      </c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</row>
    <row r="3">
      <c r="A3" s="21" t="inlineStr">
        <is>
          <t>Показатель</t>
        </is>
      </c>
      <c r="B3" s="21" t="inlineStr">
        <is>
          <t>Значение</t>
        </is>
      </c>
      <c r="C3" s="21" t="inlineStr">
        <is>
          <t>Норма</t>
        </is>
      </c>
      <c r="D3" s="21" t="inlineStr">
        <is>
          <t>Комментарий</t>
        </is>
      </c>
      <c r="E3" s="20" t="n"/>
      <c r="F3" s="20" t="n"/>
      <c r="G3" s="20" t="n"/>
      <c r="H3" s="20" t="n"/>
    </row>
    <row r="4">
      <c r="A4" s="22" t="inlineStr">
        <is>
          <t>Клиент</t>
        </is>
      </c>
      <c r="B4" s="22">
        <f>IF('01_Ввод'!B4="","",'01_Ввод'!B4)</f>
        <v/>
      </c>
      <c r="C4" s="22" t="str"/>
      <c r="D4" s="22" t="str"/>
      <c r="E4" s="20" t="n"/>
      <c r="F4" s="20" t="n"/>
      <c r="G4" s="20" t="n"/>
      <c r="H4" s="20" t="n"/>
    </row>
    <row r="5">
      <c r="A5" s="22" t="inlineStr">
        <is>
          <t>CSS / индекс согласованности C-suite</t>
        </is>
      </c>
      <c r="B5" s="22">
        <f>IF('04_Расчет'!B6="","",'04_Расчет'!B6)</f>
        <v/>
      </c>
      <c r="C5" s="22" t="inlineStr">
        <is>
          <t>75+</t>
        </is>
      </c>
      <c r="D5" s="22">
        <f>IF('04_Расчет'!B10="","",'04_Расчет'!B10)</f>
        <v/>
      </c>
      <c r="E5" s="20" t="n"/>
      <c r="F5" s="20" t="n"/>
      <c r="G5" s="20" t="n"/>
      <c r="H5" s="20" t="n"/>
    </row>
    <row r="6">
      <c r="A6" s="22" t="inlineStr">
        <is>
          <t>Статус</t>
        </is>
      </c>
      <c r="B6" s="22">
        <f>IF('04_Расчет'!B7="","",'04_Расчет'!B7)</f>
        <v/>
      </c>
      <c r="C6" s="22" t="inlineStr">
        <is>
          <t>GO / HOLD / NO-GO</t>
        </is>
      </c>
      <c r="D6" s="22" t="str"/>
      <c r="E6" s="20" t="n"/>
      <c r="F6" s="20" t="n"/>
      <c r="G6" s="20" t="n"/>
      <c r="H6" s="20" t="n"/>
    </row>
    <row r="7">
      <c r="A7" s="22" t="inlineStr">
        <is>
          <t>Следующий блок</t>
        </is>
      </c>
      <c r="B7" s="22">
        <f>IF('05_Отчет'!B8="","",'05_Отчет'!B8)</f>
        <v/>
      </c>
      <c r="C7" s="22" t="str"/>
      <c r="D7" s="22" t="str"/>
      <c r="E7" s="20" t="n"/>
      <c r="F7" s="20" t="n"/>
      <c r="G7" s="20" t="n"/>
      <c r="H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9">
      <c r="A9" s="20" t="inlineStr">
        <is>
          <t>Рабочая книга облегчена: 7 листов вместо 23. FAQ и глоссарий вынесены в мастер-файлы. Основной ручной ввод сосредоточен на листах 01-03 и отчётном решении.</t>
        </is>
      </c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>
      <c r="A11" s="21" t="inlineStr">
        <is>
          <t>Слой</t>
        </is>
      </c>
      <c r="B11" s="21" t="inlineStr">
        <is>
          <t>Заполненность</t>
        </is>
      </c>
      <c r="C11" s="21" t="inlineStr">
        <is>
          <t>Средний балл</t>
        </is>
      </c>
      <c r="D11" s="21" t="inlineStr">
        <is>
          <t>Источник</t>
        </is>
      </c>
      <c r="E11" s="20" t="n"/>
      <c r="F11" s="20" t="n"/>
      <c r="G11" s="20" t="n"/>
      <c r="H11" s="20" t="n"/>
    </row>
    <row r="12">
      <c r="A12" s="22" t="inlineStr">
        <is>
          <t>Роли и мандаты</t>
        </is>
      </c>
      <c r="B12" s="23">
        <f>'04_Расчет'!B8</f>
        <v/>
      </c>
      <c r="C12" s="24">
        <f>'04_Расчет'!B4</f>
        <v/>
      </c>
      <c r="D12" s="22" t="inlineStr">
        <is>
          <t>02_Роли_мандаты</t>
        </is>
      </c>
      <c r="E12" s="20" t="n"/>
      <c r="F12" s="20" t="n"/>
      <c r="G12" s="20" t="n"/>
      <c r="H12" s="20" t="n"/>
    </row>
    <row r="13">
      <c r="A13" s="22" t="inlineStr">
        <is>
          <t>Решения и данные</t>
        </is>
      </c>
      <c r="B13" s="23">
        <f>'04_Расчет'!B9</f>
        <v/>
      </c>
      <c r="C13" s="24">
        <f>'04_Расчет'!B5</f>
        <v/>
      </c>
      <c r="D13" s="22" t="inlineStr">
        <is>
          <t>03_Решения_данные</t>
        </is>
      </c>
      <c r="E13" s="20" t="n"/>
      <c r="F13" s="20" t="n"/>
      <c r="G13" s="20" t="n"/>
      <c r="H13" s="20" t="n"/>
    </row>
    <row r="14">
      <c r="A14" s="22" t="inlineStr">
        <is>
          <t>Итог</t>
        </is>
      </c>
      <c r="B14" s="23">
        <f>IFERROR(AVERAGE(B12:B13),0)</f>
        <v/>
      </c>
      <c r="C14" s="24">
        <f>IFERROR(AVERAGE(C12:C13),"")</f>
        <v/>
      </c>
      <c r="D14" s="22" t="inlineStr">
        <is>
          <t>04_Расчет</t>
        </is>
      </c>
      <c r="E14" s="20" t="n"/>
      <c r="F14" s="20" t="n"/>
      <c r="G14" s="20" t="n"/>
      <c r="H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0" t="n"/>
      <c r="E16" s="20" t="n"/>
      <c r="F16" s="25" t="inlineStr">
        <is>
          <t>Как пользоваться</t>
        </is>
      </c>
    </row>
    <row r="17" ht="42" customHeight="1" s="1">
      <c r="A17" s="20" t="n"/>
      <c r="B17" s="20" t="n"/>
      <c r="C17" s="20" t="n"/>
      <c r="D17" s="20" t="n"/>
      <c r="E17" s="20" t="n"/>
      <c r="F17" s="26" t="inlineStr">
        <is>
          <t>1. Заполните лист 01_Ввод: клиент, дату, модель 7 / 15 / 23, сложность и главный симптом.</t>
        </is>
      </c>
      <c r="G17" s="33" t="n"/>
      <c r="H17" s="34" t="n"/>
    </row>
    <row r="18" ht="58" customHeight="1" s="1">
      <c r="A18" s="20" t="n"/>
      <c r="B18" s="20" t="n"/>
      <c r="C18" s="20" t="n"/>
      <c r="D18" s="20" t="n"/>
      <c r="E18" s="20" t="n"/>
      <c r="F18" s="26" t="inlineStr">
        <is>
          <t>2. На листе 02_Роли_мандаты отметьте статус роли: выделена, совмещена или нет. Оценки 0-3 ставятся только там, где есть факты.</t>
        </is>
      </c>
      <c r="G18" s="33" t="n"/>
      <c r="H18" s="34" t="n"/>
    </row>
    <row r="19" ht="58" customHeight="1" s="1">
      <c r="A19" s="20" t="n"/>
      <c r="B19" s="20" t="n"/>
      <c r="C19" s="20" t="n"/>
      <c r="D19" s="20" t="n"/>
      <c r="E19" s="20" t="n"/>
      <c r="F19" s="26" t="inlineStr">
        <is>
          <t>3. На листе 03_Решения_данные проверьте решения, данные, ритмы, доверие и AI / ИИ. Источник обязателен: интервью, документ, панель, протокол.</t>
        </is>
      </c>
      <c r="G19" s="33" t="n"/>
      <c r="H19" s="34" t="n"/>
    </row>
    <row r="20" ht="42" customHeight="1" s="1">
      <c r="A20" s="20" t="n"/>
      <c r="B20" s="20" t="n"/>
      <c r="C20" s="20" t="n"/>
      <c r="D20" s="20" t="n"/>
      <c r="E20" s="20" t="n"/>
      <c r="F20" s="26" t="inlineStr">
        <is>
          <t>4. Лист 04_Расчет не заполняется вручную. Он считает CSS / индекс согласованности C-suite и заполненность.</t>
        </is>
      </c>
      <c r="G20" s="33" t="n"/>
      <c r="H20" s="34" t="n"/>
    </row>
    <row r="21" ht="42" customHeight="1" s="1">
      <c r="A21" s="20" t="n"/>
      <c r="B21" s="20" t="n"/>
      <c r="C21" s="20" t="n"/>
      <c r="D21" s="20" t="n"/>
      <c r="E21" s="20" t="n"/>
      <c r="F21" s="26" t="inlineStr">
        <is>
          <t>5. На листе 05_Отчет выберите следующий блок CLM и добавьте короткий управленческий комментарий.</t>
        </is>
      </c>
      <c r="G21" s="33" t="n"/>
      <c r="H21" s="34" t="n"/>
    </row>
    <row r="22" ht="42" customHeight="1" s="1">
      <c r="A22" s="20" t="n"/>
      <c r="B22" s="20" t="n"/>
      <c r="C22" s="20" t="n"/>
      <c r="D22" s="20" t="n"/>
      <c r="E22" s="20" t="n"/>
      <c r="F22" s="26" t="inlineStr">
        <is>
          <t>Правило: пустое поле лучше, чем выдуманная оценка. Если нет источника, оценку не ставить.</t>
        </is>
      </c>
      <c r="G22" s="33" t="n"/>
      <c r="H22" s="34" t="n"/>
    </row>
  </sheetData>
  <mergeCells count="9">
    <mergeCell ref="A9:H9"/>
    <mergeCell ref="F20:H20"/>
    <mergeCell ref="F16:H16"/>
    <mergeCell ref="F19:H19"/>
    <mergeCell ref="F22:H22"/>
    <mergeCell ref="F18:H18"/>
    <mergeCell ref="F17:H17"/>
    <mergeCell ref="A1:H1"/>
    <mergeCell ref="F21:H2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8" customWidth="1" style="1" min="1" max="1"/>
    <col width="4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12" customWidth="1" style="1" min="10" max="10"/>
  </cols>
  <sheetData>
    <row r="1">
      <c r="A1" s="19" t="inlineStr">
        <is>
          <t>CLM Блок 3. Ввод диагностики</t>
        </is>
      </c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Поле</t>
        </is>
      </c>
      <c r="B3" s="21" t="inlineStr">
        <is>
          <t>Значение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</row>
    <row r="4">
      <c r="A4" s="22" t="inlineStr">
        <is>
          <t>Клиент</t>
        </is>
      </c>
      <c r="B4" s="29" t="str"/>
      <c r="C4" s="20" t="n"/>
      <c r="D4" s="20" t="n"/>
      <c r="E4" s="20" t="n"/>
      <c r="F4" s="20" t="n"/>
      <c r="G4" s="20" t="n"/>
      <c r="H4" s="20" t="n"/>
      <c r="I4" s="20" t="n"/>
      <c r="J4" s="20" t="n"/>
    </row>
    <row r="5">
      <c r="A5" s="22" t="inlineStr">
        <is>
          <t>Дата диагностики</t>
        </is>
      </c>
      <c r="B5" s="30" t="str"/>
      <c r="C5" s="20" t="n"/>
      <c r="D5" s="20" t="n"/>
      <c r="E5" s="20" t="n"/>
      <c r="F5" s="20" t="n"/>
      <c r="G5" s="20" t="n"/>
      <c r="H5" s="20" t="n"/>
      <c r="I5" s="20" t="n"/>
      <c r="J5" s="20" t="n"/>
    </row>
    <row r="6">
      <c r="A6" s="22" t="inlineStr">
        <is>
          <t>Выбранная модель</t>
        </is>
      </c>
      <c r="B6" s="29" t="str"/>
      <c r="C6" s="20" t="n"/>
      <c r="D6" s="20" t="n"/>
      <c r="E6" s="20" t="n"/>
      <c r="F6" s="20" t="n"/>
      <c r="G6" s="20" t="n"/>
      <c r="H6" s="20" t="n"/>
      <c r="I6" s="20" t="n"/>
      <c r="J6" s="20" t="n"/>
    </row>
    <row r="7">
      <c r="A7" s="22" t="inlineStr">
        <is>
          <t>Сложность бизнеса, 1-5</t>
        </is>
      </c>
      <c r="B7" s="29" t="str"/>
      <c r="C7" s="20" t="n"/>
      <c r="D7" s="20" t="n"/>
      <c r="E7" s="20" t="n"/>
      <c r="F7" s="20" t="n"/>
      <c r="G7" s="20" t="n"/>
      <c r="H7" s="20" t="n"/>
      <c r="I7" s="20" t="n"/>
      <c r="J7" s="20" t="n"/>
    </row>
    <row r="8">
      <c r="A8" s="22" t="inlineStr">
        <is>
          <t>Главный симптом</t>
        </is>
      </c>
      <c r="B8" s="29" t="str"/>
      <c r="C8" s="20" t="n"/>
      <c r="D8" s="20" t="n"/>
      <c r="E8" s="20" t="n"/>
      <c r="F8" s="20" t="n"/>
      <c r="G8" s="20" t="n"/>
      <c r="H8" s="20" t="n"/>
      <c r="I8" s="20" t="n"/>
      <c r="J8" s="20" t="n"/>
    </row>
    <row r="9">
      <c r="A9" s="22" t="inlineStr">
        <is>
          <t>Ответственный</t>
        </is>
      </c>
      <c r="B9" s="29" t="str"/>
      <c r="C9" s="20" t="n"/>
      <c r="D9" s="20" t="n"/>
      <c r="E9" s="20" t="n"/>
      <c r="F9" s="20" t="n"/>
      <c r="G9" s="20" t="n"/>
      <c r="H9" s="20" t="n"/>
      <c r="I9" s="20" t="n"/>
      <c r="J9" s="20" t="n"/>
    </row>
    <row r="10">
      <c r="A10" s="22" t="inlineStr">
        <is>
          <t>Комментарий</t>
        </is>
      </c>
      <c r="B10" s="29" t="str"/>
      <c r="C10" s="20" t="n"/>
      <c r="D10" s="20" t="n"/>
      <c r="E10" s="20" t="n"/>
      <c r="F10" s="20" t="n"/>
      <c r="G10" s="20" t="n"/>
      <c r="H10" s="20" t="n"/>
      <c r="I10" s="20" t="n"/>
      <c r="J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</row>
    <row r="12">
      <c r="A12" s="31" t="inlineStr">
        <is>
          <t>Правило заполнения</t>
        </is>
      </c>
    </row>
    <row r="13">
      <c r="A13" s="20" t="inlineStr">
        <is>
          <t>Заполняется только то, что влияет на итоговый вывод: модель, сложность, роли, мандаты, решения, данные, ритмы, доверие и AI / ИИ. Методология остается в DOCX, FAQ и глоссарии — в мастер-файлах.</t>
        </is>
      </c>
    </row>
    <row r="14"/>
    <row r="15"/>
    <row r="16"/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</row>
    <row r="18">
      <c r="A18" s="25" t="inlineStr">
        <is>
          <t>Помощь по заполнению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</row>
    <row r="19" ht="42" customHeight="1" s="1">
      <c r="A19" s="26" t="inlineStr">
        <is>
          <t>Модель 7 / 15 / 23</t>
        </is>
      </c>
      <c r="B19" s="26" t="inlineStr">
        <is>
          <t>Выбирается по сложности бизнеса. Не надо подгонять модель под количество людей в оргструктуре.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</row>
    <row r="20" ht="58" customHeight="1" s="1">
      <c r="A20" s="26" t="inlineStr">
        <is>
          <t>Сложность 1-5</t>
        </is>
      </c>
      <c r="B20" s="26" t="inlineStr">
        <is>
          <t>Оценивается экспертно: масштаб, цена ошибки, число решений, скорость изменений, число стыков между ролями.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</row>
    <row r="21" ht="42" customHeight="1" s="1">
      <c r="A21" s="26" t="inlineStr">
        <is>
          <t>Главный симптом</t>
        </is>
      </c>
      <c r="B21" s="26" t="inlineStr">
        <is>
          <t>Один главный симптом лучше длинного описания. Детали уйдут в рабочие листы.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</row>
  </sheetData>
  <mergeCells count="4">
    <mergeCell ref="A18:B18"/>
    <mergeCell ref="A13:J16"/>
    <mergeCell ref="A1:J1"/>
    <mergeCell ref="A12:J12"/>
  </mergeCells>
  <dataValidations count="2">
    <dataValidation sqref="B6" showDropDown="0" showInputMessage="0" showErrorMessage="0" allowBlank="0" type="list">
      <formula1>'90_Справочник'!$H$2:$H$4</formula1>
    </dataValidation>
    <dataValidation sqref="B7" showDropDown="0" showInputMessage="0" showErrorMessage="0" allowBlank="0" type="whole" operator="between">
      <formula1>1</formula1>
      <formula2>5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1" min="1" max="1"/>
    <col width="20" customWidth="1" style="1" min="2" max="2"/>
    <col width="34" customWidth="1" style="1" min="3" max="3"/>
    <col width="18" customWidth="1" style="1" min="4" max="4"/>
    <col width="24" customWidth="1" style="1" min="5" max="5"/>
    <col width="16" customWidth="1" style="1" min="6" max="6"/>
    <col width="16" customWidth="1" style="1" min="7" max="7"/>
    <col width="16" customWidth="1" style="1" min="8" max="8"/>
    <col width="34" customWidth="1" style="1" min="9" max="9"/>
    <col width="10" customWidth="1" style="1" min="10" max="10"/>
  </cols>
  <sheetData>
    <row r="1">
      <c r="A1" s="19" t="inlineStr">
        <is>
          <t>Проверка ролей и мандатов</t>
        </is>
      </c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</row>
    <row r="4">
      <c r="A4" s="21" t="inlineStr">
        <is>
          <t>Контур</t>
        </is>
      </c>
      <c r="B4" s="21" t="inlineStr">
        <is>
          <t>Роль</t>
        </is>
      </c>
      <c r="C4" s="21" t="inlineStr">
        <is>
          <t>Русское название</t>
        </is>
      </c>
      <c r="D4" s="21" t="inlineStr">
        <is>
          <t>Статус роли</t>
        </is>
      </c>
      <c r="E4" s="21" t="inlineStr">
        <is>
          <t>Владелец мандата</t>
        </is>
      </c>
      <c r="F4" s="21" t="inlineStr">
        <is>
          <t>Мандат ясен, 0-3</t>
        </is>
      </c>
      <c r="G4" s="21" t="inlineStr">
        <is>
          <t>Право решения, 0-3</t>
        </is>
      </c>
      <c r="H4" s="21" t="inlineStr">
        <is>
          <t>Риск потери, 0-3</t>
        </is>
      </c>
      <c r="I4" s="21" t="inlineStr">
        <is>
          <t>Комментарий</t>
        </is>
      </c>
      <c r="J4" s="21" t="inlineStr">
        <is>
          <t>Балл</t>
        </is>
      </c>
    </row>
    <row r="5">
      <c r="A5" s="22" t="inlineStr">
        <is>
          <t>Стратегическое ядро</t>
        </is>
      </c>
      <c r="B5" s="22" t="inlineStr">
        <is>
          <t>CEO</t>
        </is>
      </c>
      <c r="C5" s="22" t="inlineStr">
        <is>
          <t>Генеральный директор</t>
        </is>
      </c>
      <c r="D5" s="29" t="str"/>
      <c r="E5" s="29" t="str"/>
      <c r="F5" s="29" t="str"/>
      <c r="G5" s="29" t="str"/>
      <c r="H5" s="29" t="str"/>
      <c r="I5" s="29" t="str"/>
      <c r="J5" s="22">
        <f>IF(COUNTA(F5:H5)&lt;3,"",ROUND((F5+G5+(3-H5))/3,1))</f>
        <v/>
      </c>
    </row>
    <row r="6">
      <c r="A6" s="22" t="inlineStr">
        <is>
          <t>Стратегическое ядро</t>
        </is>
      </c>
      <c r="B6" s="22" t="inlineStr">
        <is>
          <t>CVO Development</t>
        </is>
      </c>
      <c r="C6" s="22" t="inlineStr">
        <is>
          <t>Директор по развитию / стратегическому видению</t>
        </is>
      </c>
      <c r="D6" s="29" t="str"/>
      <c r="E6" s="29" t="str"/>
      <c r="F6" s="29" t="str"/>
      <c r="G6" s="29" t="str"/>
      <c r="H6" s="29" t="str"/>
      <c r="I6" s="29" t="str"/>
      <c r="J6" s="22">
        <f>IF(COUNTA(F6:H6)&lt;3,"",ROUND((F6+G6+(3-H6))/3,1))</f>
        <v/>
      </c>
    </row>
    <row r="7">
      <c r="A7" s="22" t="inlineStr">
        <is>
          <t>Стратегическое ядро</t>
        </is>
      </c>
      <c r="B7" s="22" t="inlineStr">
        <is>
          <t>CFO</t>
        </is>
      </c>
      <c r="C7" s="22" t="inlineStr">
        <is>
          <t>Финансовый директор</t>
        </is>
      </c>
      <c r="D7" s="29" t="str"/>
      <c r="E7" s="29" t="str"/>
      <c r="F7" s="29" t="str"/>
      <c r="G7" s="29" t="str"/>
      <c r="H7" s="29" t="str"/>
      <c r="I7" s="29" t="str"/>
      <c r="J7" s="22">
        <f>IF(COUNTA(F7:H7)&lt;3,"",ROUND((F7+G7+(3-H7))/3,1))</f>
        <v/>
      </c>
    </row>
    <row r="8">
      <c r="A8" s="22" t="inlineStr">
        <is>
          <t>Операционное ядро</t>
        </is>
      </c>
      <c r="B8" s="22" t="inlineStr">
        <is>
          <t>COO</t>
        </is>
      </c>
      <c r="C8" s="22" t="inlineStr">
        <is>
          <t>Операционный директор</t>
        </is>
      </c>
      <c r="D8" s="29" t="str"/>
      <c r="E8" s="29" t="str"/>
      <c r="F8" s="29" t="str"/>
      <c r="G8" s="29" t="str"/>
      <c r="H8" s="29" t="str"/>
      <c r="I8" s="29" t="str"/>
      <c r="J8" s="22">
        <f>IF(COUNTA(F8:H8)&lt;3,"",ROUND((F8+G8+(3-H8))/3,1))</f>
        <v/>
      </c>
    </row>
    <row r="9">
      <c r="A9" s="22" t="inlineStr">
        <is>
          <t>Операционное ядро</t>
        </is>
      </c>
      <c r="B9" s="22" t="inlineStr">
        <is>
          <t>CAO Admin</t>
        </is>
      </c>
      <c r="C9" s="22" t="inlineStr">
        <is>
          <t>Административный директор</t>
        </is>
      </c>
      <c r="D9" s="29" t="str"/>
      <c r="E9" s="29" t="str"/>
      <c r="F9" s="29" t="str"/>
      <c r="G9" s="29" t="str"/>
      <c r="H9" s="29" t="str"/>
      <c r="I9" s="29" t="str"/>
      <c r="J9" s="22">
        <f>IF(COUNTA(F9:H9)&lt;3,"",ROUND((F9+G9+(3-H9))/3,1))</f>
        <v/>
      </c>
    </row>
    <row r="10">
      <c r="A10" s="22" t="inlineStr">
        <is>
          <t>Операционное ядро</t>
        </is>
      </c>
      <c r="B10" s="22" t="inlineStr">
        <is>
          <t>CPO Procurement</t>
        </is>
      </c>
      <c r="C10" s="22" t="inlineStr">
        <is>
          <t>Директор по закупкам</t>
        </is>
      </c>
      <c r="D10" s="29" t="str"/>
      <c r="E10" s="29" t="str"/>
      <c r="F10" s="29" t="str"/>
      <c r="G10" s="29" t="str"/>
      <c r="H10" s="29" t="str"/>
      <c r="I10" s="29" t="str"/>
      <c r="J10" s="22">
        <f>IF(COUNTA(F10:H10)&lt;3,"",ROUND((F10+G10+(3-H10))/3,1))</f>
        <v/>
      </c>
    </row>
    <row r="11">
      <c r="A11" s="22" t="inlineStr">
        <is>
          <t>Операционное ядро</t>
        </is>
      </c>
      <c r="B11" s="22" t="inlineStr">
        <is>
          <t>CRO Risk</t>
        </is>
      </c>
      <c r="C11" s="22" t="inlineStr">
        <is>
          <t>Директор по рискам</t>
        </is>
      </c>
      <c r="D11" s="29" t="str"/>
      <c r="E11" s="29" t="str"/>
      <c r="F11" s="29" t="str"/>
      <c r="G11" s="29" t="str"/>
      <c r="H11" s="29" t="str"/>
      <c r="I11" s="29" t="str"/>
      <c r="J11" s="22">
        <f>IF(COUNTA(F11:H11)&lt;3,"",ROUND((F11+G11+(3-H11))/3,1))</f>
        <v/>
      </c>
    </row>
    <row r="12">
      <c r="A12" s="22" t="inlineStr">
        <is>
          <t>Операционное ядро</t>
        </is>
      </c>
      <c r="B12" s="22" t="inlineStr">
        <is>
          <t>CAO Accounting</t>
        </is>
      </c>
      <c r="C12" s="22" t="inlineStr">
        <is>
          <t>Главный бухгалтер / директор по учётному контуру</t>
        </is>
      </c>
      <c r="D12" s="29" t="str"/>
      <c r="E12" s="29" t="str"/>
      <c r="F12" s="29" t="str"/>
      <c r="G12" s="29" t="str"/>
      <c r="H12" s="29" t="str"/>
      <c r="I12" s="29" t="str"/>
      <c r="J12" s="22">
        <f>IF(COUNTA(F12:H12)&lt;3,"",ROUND((F12+G12+(3-H12))/3,1))</f>
        <v/>
      </c>
    </row>
    <row r="13">
      <c r="A13" s="22" t="inlineStr">
        <is>
          <t>Коммерческое ядро</t>
        </is>
      </c>
      <c r="B13" s="22" t="inlineStr">
        <is>
          <t>CSO Sales</t>
        </is>
      </c>
      <c r="C13" s="22" t="inlineStr">
        <is>
          <t>Коммерческий директор / директор по продажам</t>
        </is>
      </c>
      <c r="D13" s="29" t="str"/>
      <c r="E13" s="29" t="str"/>
      <c r="F13" s="29" t="str"/>
      <c r="G13" s="29" t="str"/>
      <c r="H13" s="29" t="str"/>
      <c r="I13" s="29" t="str"/>
      <c r="J13" s="22">
        <f>IF(COUNTA(F13:H13)&lt;3,"",ROUND((F13+G13+(3-H13))/3,1))</f>
        <v/>
      </c>
    </row>
    <row r="14">
      <c r="A14" s="22" t="inlineStr">
        <is>
          <t>Коммерческое ядро</t>
        </is>
      </c>
      <c r="B14" s="22" t="inlineStr">
        <is>
          <t>CMO</t>
        </is>
      </c>
      <c r="C14" s="22" t="inlineStr">
        <is>
          <t>Директор по маркетингу</t>
        </is>
      </c>
      <c r="D14" s="29" t="str"/>
      <c r="E14" s="29" t="str"/>
      <c r="F14" s="29" t="str"/>
      <c r="G14" s="29" t="str"/>
      <c r="H14" s="29" t="str"/>
      <c r="I14" s="29" t="str"/>
      <c r="J14" s="22">
        <f>IF(COUNTA(F14:H14)&lt;3,"",ROUND((F14+G14+(3-H14))/3,1))</f>
        <v/>
      </c>
    </row>
    <row r="15">
      <c r="A15" s="22" t="inlineStr">
        <is>
          <t>Коммерческое ядро</t>
        </is>
      </c>
      <c r="B15" s="22" t="inlineStr">
        <is>
          <t>CPO Product</t>
        </is>
      </c>
      <c r="C15" s="22" t="inlineStr">
        <is>
          <t>Директор по продукту</t>
        </is>
      </c>
      <c r="D15" s="29" t="str"/>
      <c r="E15" s="29" t="str"/>
      <c r="F15" s="29" t="str"/>
      <c r="G15" s="29" t="str"/>
      <c r="H15" s="29" t="str"/>
      <c r="I15" s="29" t="str"/>
      <c r="J15" s="22">
        <f>IF(COUNTA(F15:H15)&lt;3,"",ROUND((F15+G15+(3-H15))/3,1))</f>
        <v/>
      </c>
    </row>
    <row r="16">
      <c r="A16" s="22" t="inlineStr">
        <is>
          <t>Коммерческое ядро</t>
        </is>
      </c>
      <c r="B16" s="22" t="inlineStr">
        <is>
          <t>CRO Revenue</t>
        </is>
      </c>
      <c r="C16" s="22" t="inlineStr">
        <is>
          <t>Директор по доходам</t>
        </is>
      </c>
      <c r="D16" s="29" t="str"/>
      <c r="E16" s="29" t="str"/>
      <c r="F16" s="29" t="str"/>
      <c r="G16" s="29" t="str"/>
      <c r="H16" s="29" t="str"/>
      <c r="I16" s="29" t="str"/>
      <c r="J16" s="22">
        <f>IF(COUNTA(F16:H16)&lt;3,"",ROUND((F16+G16+(3-H16))/3,1))</f>
        <v/>
      </c>
    </row>
    <row r="17">
      <c r="A17" s="22" t="inlineStr">
        <is>
          <t>Технологическое ядро</t>
        </is>
      </c>
      <c r="B17" s="22" t="inlineStr">
        <is>
          <t>CTO</t>
        </is>
      </c>
      <c r="C17" s="22" t="inlineStr">
        <is>
          <t>Технический директор</t>
        </is>
      </c>
      <c r="D17" s="29" t="str"/>
      <c r="E17" s="29" t="str"/>
      <c r="F17" s="29" t="str"/>
      <c r="G17" s="29" t="str"/>
      <c r="H17" s="29" t="str"/>
      <c r="I17" s="29" t="str"/>
      <c r="J17" s="22">
        <f>IF(COUNTA(F17:H17)&lt;3,"",ROUND((F17+G17+(3-H17))/3,1))</f>
        <v/>
      </c>
    </row>
    <row r="18">
      <c r="A18" s="22" t="inlineStr">
        <is>
          <t>Технологическое ядро</t>
        </is>
      </c>
      <c r="B18" s="22" t="inlineStr">
        <is>
          <t>CIO</t>
        </is>
      </c>
      <c r="C18" s="22" t="inlineStr">
        <is>
          <t>Директор по информационным технологиям</t>
        </is>
      </c>
      <c r="D18" s="29" t="str"/>
      <c r="E18" s="29" t="str"/>
      <c r="F18" s="29" t="str"/>
      <c r="G18" s="29" t="str"/>
      <c r="H18" s="29" t="str"/>
      <c r="I18" s="29" t="str"/>
      <c r="J18" s="22">
        <f>IF(COUNTA(F18:H18)&lt;3,"",ROUND((F18+G18+(3-H18))/3,1))</f>
        <v/>
      </c>
    </row>
    <row r="19">
      <c r="A19" s="22" t="inlineStr">
        <is>
          <t>Технологическое ядро</t>
        </is>
      </c>
      <c r="B19" s="22" t="inlineStr">
        <is>
          <t>CAIO</t>
        </is>
      </c>
      <c r="C19" s="22" t="inlineStr">
        <is>
          <t>Директор по искусственному интеллекту</t>
        </is>
      </c>
      <c r="D19" s="29" t="str"/>
      <c r="E19" s="29" t="str"/>
      <c r="F19" s="29" t="str"/>
      <c r="G19" s="29" t="str"/>
      <c r="H19" s="29" t="str"/>
      <c r="I19" s="29" t="str"/>
      <c r="J19" s="22">
        <f>IF(COUNTA(F19:H19)&lt;3,"",ROUND((F19+G19+(3-H19))/3,1))</f>
        <v/>
      </c>
    </row>
    <row r="20">
      <c r="A20" s="22" t="inlineStr">
        <is>
          <t>Технологическое ядро</t>
        </is>
      </c>
      <c r="B20" s="22" t="inlineStr">
        <is>
          <t>CDO</t>
        </is>
      </c>
      <c r="C20" s="22" t="inlineStr">
        <is>
          <t>Цифровой директор</t>
        </is>
      </c>
      <c r="D20" s="29" t="str"/>
      <c r="E20" s="29" t="str"/>
      <c r="F20" s="29" t="str"/>
      <c r="G20" s="29" t="str"/>
      <c r="H20" s="29" t="str"/>
      <c r="I20" s="29" t="str"/>
      <c r="J20" s="22">
        <f>IF(COUNTA(F20:H20)&lt;3,"",ROUND((F20+G20+(3-H20))/3,1))</f>
        <v/>
      </c>
    </row>
    <row r="21">
      <c r="A21" s="22" t="inlineStr">
        <is>
          <t>Человеческий и культурный контур</t>
        </is>
      </c>
      <c r="B21" s="22" t="inlineStr">
        <is>
          <t>CHRO</t>
        </is>
      </c>
      <c r="C21" s="22" t="inlineStr">
        <is>
          <t>Директор по персоналу</t>
        </is>
      </c>
      <c r="D21" s="29" t="str"/>
      <c r="E21" s="29" t="str"/>
      <c r="F21" s="29" t="str"/>
      <c r="G21" s="29" t="str"/>
      <c r="H21" s="29" t="str"/>
      <c r="I21" s="29" t="str"/>
      <c r="J21" s="22">
        <f>IF(COUNTA(F21:H21)&lt;3,"",ROUND((F21+G21+(3-H21))/3,1))</f>
        <v/>
      </c>
    </row>
    <row r="22">
      <c r="A22" s="22" t="inlineStr">
        <is>
          <t>Человеческий и культурный контур</t>
        </is>
      </c>
      <c r="B22" s="22" t="inlineStr">
        <is>
          <t>CHO</t>
        </is>
      </c>
      <c r="C22" s="22" t="inlineStr">
        <is>
          <t>Директор по вовлечённости / эмоциональному капиталу</t>
        </is>
      </c>
      <c r="D22" s="29" t="str"/>
      <c r="E22" s="29" t="str"/>
      <c r="F22" s="29" t="str"/>
      <c r="G22" s="29" t="str"/>
      <c r="H22" s="29" t="str"/>
      <c r="I22" s="29" t="str"/>
      <c r="J22" s="22">
        <f>IF(COUNTA(F22:H22)&lt;3,"",ROUND((F22+G22+(3-H22))/3,1))</f>
        <v/>
      </c>
    </row>
    <row r="23">
      <c r="A23" s="22" t="inlineStr">
        <is>
          <t>Человеческий и культурный контур</t>
        </is>
      </c>
      <c r="B23" s="22" t="inlineStr">
        <is>
          <t>CCO</t>
        </is>
      </c>
      <c r="C23" s="22" t="inlineStr">
        <is>
          <t>Директор по комплаенсу</t>
        </is>
      </c>
      <c r="D23" s="29" t="str"/>
      <c r="E23" s="29" t="str"/>
      <c r="F23" s="29" t="str"/>
      <c r="G23" s="29" t="str"/>
      <c r="H23" s="29" t="str"/>
      <c r="I23" s="29" t="str"/>
      <c r="J23" s="22">
        <f>IF(COUNTA(F23:H23)&lt;3,"",ROUND((F23+G23+(3-H23))/3,1))</f>
        <v/>
      </c>
    </row>
    <row r="24">
      <c r="A24" s="22" t="inlineStr">
        <is>
          <t>Человеческий и культурный контур</t>
        </is>
      </c>
      <c r="B24" s="22" t="inlineStr">
        <is>
          <t>CSO Security</t>
        </is>
      </c>
      <c r="C24" s="22" t="inlineStr">
        <is>
          <t>Директор по безопасности</t>
        </is>
      </c>
      <c r="D24" s="29" t="str"/>
      <c r="E24" s="29" t="str"/>
      <c r="F24" s="29" t="str"/>
      <c r="G24" s="29" t="str"/>
      <c r="H24" s="29" t="str"/>
      <c r="I24" s="29" t="str"/>
      <c r="J24" s="22">
        <f>IF(COUNTA(F24:H24)&lt;3,"",ROUND((F24+G24+(3-H24))/3,1))</f>
        <v/>
      </c>
    </row>
    <row r="25">
      <c r="A25" s="22" t="inlineStr">
        <is>
          <t>Инновационно-аналитический контур</t>
        </is>
      </c>
      <c r="B25" s="22" t="inlineStr">
        <is>
          <t>CAO Analytics</t>
        </is>
      </c>
      <c r="C25" s="22" t="inlineStr">
        <is>
          <t>Директор по аналитике</t>
        </is>
      </c>
      <c r="D25" s="29" t="str"/>
      <c r="E25" s="29" t="str"/>
      <c r="F25" s="29" t="str"/>
      <c r="G25" s="29" t="str"/>
      <c r="H25" s="29" t="str"/>
      <c r="I25" s="29" t="str"/>
      <c r="J25" s="22">
        <f>IF(COUNTA(F25:H25)&lt;3,"",ROUND((F25+G25+(3-H25))/3,1))</f>
        <v/>
      </c>
    </row>
    <row r="26">
      <c r="A26" s="22" t="inlineStr">
        <is>
          <t>Инновационно-аналитический контур</t>
        </is>
      </c>
      <c r="B26" s="22" t="inlineStr">
        <is>
          <t>CAO Automation</t>
        </is>
      </c>
      <c r="C26" s="22" t="inlineStr">
        <is>
          <t>Директор по автоматизации</t>
        </is>
      </c>
      <c r="D26" s="29" t="str"/>
      <c r="E26" s="29" t="str"/>
      <c r="F26" s="29" t="str"/>
      <c r="G26" s="29" t="str"/>
      <c r="H26" s="29" t="str"/>
      <c r="I26" s="29" t="str"/>
      <c r="J26" s="22">
        <f>IF(COUNTA(F26:H26)&lt;3,"",ROUND((F26+G26+(3-H26))/3,1))</f>
        <v/>
      </c>
    </row>
    <row r="27">
      <c r="A27" s="22" t="inlineStr">
        <is>
          <t>Инновационно-аналитический контур</t>
        </is>
      </c>
      <c r="B27" s="22" t="inlineStr">
        <is>
          <t>CVO Foresight</t>
        </is>
      </c>
      <c r="C27" s="22" t="inlineStr">
        <is>
          <t>Директор по форсайту / стратегическому прогнозированию</t>
        </is>
      </c>
      <c r="D27" s="29" t="str"/>
      <c r="E27" s="29" t="str"/>
      <c r="F27" s="29" t="str"/>
      <c r="G27" s="29" t="str"/>
      <c r="H27" s="29" t="str"/>
      <c r="I27" s="29" t="str"/>
      <c r="J27" s="22">
        <f>IF(COUNTA(F27:H27)&lt;3,"",ROUND((F27+G27+(3-H27))/3,1))</f>
        <v/>
      </c>
    </row>
  </sheetData>
  <mergeCells count="1">
    <mergeCell ref="A1:J1"/>
  </mergeCells>
  <dataValidations count="4">
    <dataValidation sqref="D5:D27" showDropDown="0" showInputMessage="0" showErrorMessage="0" allowBlank="0" type="list">
      <formula1>'90_Справочник'!$F$2:$F$4</formula1>
    </dataValidation>
    <dataValidation sqref="F5:F27" showDropDown="0" showInputMessage="0" showErrorMessage="0" allowBlank="0" type="whole" operator="between">
      <formula1>0</formula1>
      <formula2>3</formula2>
    </dataValidation>
    <dataValidation sqref="G5:G27" showDropDown="0" showInputMessage="0" showErrorMessage="0" allowBlank="0" type="whole" operator="between">
      <formula1>0</formula1>
      <formula2>3</formula2>
    </dataValidation>
    <dataValidation sqref="H5:H27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56" customWidth="1" style="1" min="2" max="2"/>
    <col width="24" customWidth="1" style="1" min="3" max="3"/>
    <col width="14" customWidth="1" style="1" min="4" max="4"/>
    <col width="28" customWidth="1" style="1" min="5" max="5"/>
    <col width="40" customWidth="1" style="1" min="6" max="6"/>
    <col width="10" customWidth="1" style="1" min="7" max="7"/>
  </cols>
  <sheetData>
    <row r="1">
      <c r="A1" s="19" t="inlineStr">
        <is>
          <t>Проверка решений, данных, ритмов, доверия и AI / ИИ</t>
        </is>
      </c>
    </row>
    <row r="2">
      <c r="A2" s="20" t="n"/>
      <c r="B2" s="20" t="n"/>
      <c r="C2" s="20" t="n"/>
      <c r="D2" s="20" t="n"/>
      <c r="E2" s="20" t="n"/>
      <c r="F2" s="20" t="n"/>
      <c r="G2" s="20" t="n"/>
    </row>
    <row r="3">
      <c r="A3" s="20" t="n"/>
      <c r="B3" s="20" t="n"/>
      <c r="C3" s="20" t="n"/>
      <c r="D3" s="20" t="n"/>
      <c r="E3" s="20" t="n"/>
      <c r="F3" s="20" t="n"/>
      <c r="G3" s="20" t="n"/>
    </row>
    <row r="4">
      <c r="A4" s="21" t="inlineStr">
        <is>
          <t>Слой</t>
        </is>
      </c>
      <c r="B4" s="21" t="inlineStr">
        <is>
          <t>Проверка</t>
        </is>
      </c>
      <c r="C4" s="21" t="inlineStr">
        <is>
          <t>Владелец</t>
        </is>
      </c>
      <c r="D4" s="21" t="inlineStr">
        <is>
          <t>Оценка, 0-3</t>
        </is>
      </c>
      <c r="E4" s="21" t="inlineStr">
        <is>
          <t>Источник</t>
        </is>
      </c>
      <c r="F4" s="21" t="inlineStr">
        <is>
          <t>Комментарий</t>
        </is>
      </c>
      <c r="G4" s="21" t="inlineStr">
        <is>
          <t>Балл</t>
        </is>
      </c>
    </row>
    <row r="5">
      <c r="A5" s="22" t="inlineStr">
        <is>
          <t>Решения</t>
        </is>
      </c>
      <c r="B5" s="22" t="inlineStr">
        <is>
          <t>Есть понятный владелец ключевых решений</t>
        </is>
      </c>
      <c r="C5" s="29" t="str"/>
      <c r="D5" s="29" t="str"/>
      <c r="E5" s="29" t="str"/>
      <c r="F5" s="29" t="str"/>
      <c r="G5" s="22">
        <f>IF(D5="","",D5)</f>
        <v/>
      </c>
    </row>
    <row r="6">
      <c r="A6" s="22" t="inlineStr">
        <is>
          <t>Решения</t>
        </is>
      </c>
      <c r="B6" s="22" t="inlineStr">
        <is>
          <t>Права решений не возвращаются постоянно к CEO / генеральному директору</t>
        </is>
      </c>
      <c r="C6" s="29" t="str"/>
      <c r="D6" s="29" t="str"/>
      <c r="E6" s="29" t="str"/>
      <c r="F6" s="29" t="str"/>
      <c r="G6" s="22">
        <f>IF(D6="","",D6)</f>
        <v/>
      </c>
    </row>
    <row r="7">
      <c r="A7" s="22" t="inlineStr">
        <is>
          <t>Решения</t>
        </is>
      </c>
      <c r="B7" s="22" t="inlineStr">
        <is>
          <t>Decision Loop / цикл решений доводит решения до исполнения</t>
        </is>
      </c>
      <c r="C7" s="29" t="str"/>
      <c r="D7" s="29" t="str"/>
      <c r="E7" s="29" t="str"/>
      <c r="F7" s="29" t="str"/>
      <c r="G7" s="22">
        <f>IF(D7="","",D7)</f>
        <v/>
      </c>
    </row>
    <row r="8">
      <c r="A8" s="22" t="inlineStr">
        <is>
          <t>Данные</t>
        </is>
      </c>
      <c r="B8" s="22" t="inlineStr">
        <is>
          <t>Есть единая версия фактов по ключевым показателям</t>
        </is>
      </c>
      <c r="C8" s="29" t="str"/>
      <c r="D8" s="29" t="str"/>
      <c r="E8" s="29" t="str"/>
      <c r="F8" s="29" t="str"/>
      <c r="G8" s="22">
        <f>IF(D8="","",D8)</f>
        <v/>
      </c>
    </row>
    <row r="9">
      <c r="A9" s="22" t="inlineStr">
        <is>
          <t>Данные</t>
        </is>
      </c>
      <c r="B9" s="22" t="inlineStr">
        <is>
          <t>У данных есть владелец качества</t>
        </is>
      </c>
      <c r="C9" s="29" t="str"/>
      <c r="D9" s="29" t="str"/>
      <c r="E9" s="29" t="str"/>
      <c r="F9" s="29" t="str"/>
      <c r="G9" s="22">
        <f>IF(D9="","",D9)</f>
        <v/>
      </c>
    </row>
    <row r="10">
      <c r="A10" s="22" t="inlineStr">
        <is>
          <t>Данные</t>
        </is>
      </c>
      <c r="B10" s="22" t="inlineStr">
        <is>
          <t>CFO, COO и CSO Sales не спорят о базовых цифрах</t>
        </is>
      </c>
      <c r="C10" s="29" t="str"/>
      <c r="D10" s="29" t="str"/>
      <c r="E10" s="29" t="str"/>
      <c r="F10" s="29" t="str"/>
      <c r="G10" s="22">
        <f>IF(D10="","",D10)</f>
        <v/>
      </c>
    </row>
    <row r="11">
      <c r="A11" s="22" t="inlineStr">
        <is>
          <t>Ритмы</t>
        </is>
      </c>
      <c r="B11" s="22" t="inlineStr">
        <is>
          <t>Ритм C-level фиксирует обязательства, а не только обсуждения</t>
        </is>
      </c>
      <c r="C11" s="29" t="str"/>
      <c r="D11" s="29" t="str"/>
      <c r="E11" s="29" t="str"/>
      <c r="F11" s="29" t="str"/>
      <c r="G11" s="22">
        <f>IF(D11="","",D11)</f>
        <v/>
      </c>
    </row>
    <row r="12">
      <c r="A12" s="22" t="inlineStr">
        <is>
          <t>Ритмы</t>
        </is>
      </c>
      <c r="B12" s="22" t="inlineStr">
        <is>
          <t>Есть регулярный review / разбор невыполненных решений</t>
        </is>
      </c>
      <c r="C12" s="29" t="str"/>
      <c r="D12" s="29" t="str"/>
      <c r="E12" s="29" t="str"/>
      <c r="F12" s="29" t="str"/>
      <c r="G12" s="22">
        <f>IF(D12="","",D12)</f>
        <v/>
      </c>
    </row>
    <row r="13">
      <c r="A13" s="22" t="inlineStr">
        <is>
          <t>Доверие</t>
        </is>
      </c>
      <c r="B13" s="22" t="inlineStr">
        <is>
          <t>Мандаты можно передавать без ручного контроля CEO</t>
        </is>
      </c>
      <c r="C13" s="29" t="str"/>
      <c r="D13" s="29" t="str"/>
      <c r="E13" s="29" t="str"/>
      <c r="F13" s="29" t="str"/>
      <c r="G13" s="22">
        <f>IF(D13="","",D13)</f>
        <v/>
      </c>
    </row>
    <row r="14">
      <c r="A14" s="22" t="inlineStr">
        <is>
          <t>Доверие</t>
        </is>
      </c>
      <c r="B14" s="22" t="inlineStr">
        <is>
          <t>Конфликты между ролями разбираются через правила, а не через силу статуса</t>
        </is>
      </c>
      <c r="C14" s="29" t="str"/>
      <c r="D14" s="29" t="str"/>
      <c r="E14" s="29" t="str"/>
      <c r="F14" s="29" t="str"/>
      <c r="G14" s="22">
        <f>IF(D14="","",D14)</f>
        <v/>
      </c>
    </row>
    <row r="15">
      <c r="A15" s="22" t="inlineStr">
        <is>
          <t>AI / ИИ</t>
        </is>
      </c>
      <c r="B15" s="22" t="inlineStr">
        <is>
          <t>Есть владелец AI / ИИ-мандата</t>
        </is>
      </c>
      <c r="C15" s="29" t="str"/>
      <c r="D15" s="29" t="str"/>
      <c r="E15" s="29" t="str"/>
      <c r="F15" s="29" t="str"/>
      <c r="G15" s="22">
        <f>IF(D15="","",D15)</f>
        <v/>
      </c>
    </row>
    <row r="16">
      <c r="A16" s="22" t="inlineStr">
        <is>
          <t>AI / ИИ</t>
        </is>
      </c>
      <c r="B16" s="22" t="inlineStr">
        <is>
          <t>AI / ИИ связан с данными, экономикой и ответственностью</t>
        </is>
      </c>
      <c r="C16" s="29" t="str"/>
      <c r="D16" s="29" t="str"/>
      <c r="E16" s="29" t="str"/>
      <c r="F16" s="29" t="str"/>
      <c r="G16" s="22">
        <f>IF(D16="","",D16)</f>
        <v/>
      </c>
    </row>
  </sheetData>
  <mergeCells count="1">
    <mergeCell ref="A1:G1"/>
  </mergeCells>
  <dataValidations count="1">
    <dataValidation sqref="D5:D16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32" customWidth="1" style="1" min="2" max="2"/>
    <col width="34" customWidth="1" style="1" min="3" max="3"/>
    <col width="26" customWidth="1" style="1" min="4" max="4"/>
  </cols>
  <sheetData>
    <row r="1">
      <c r="A1" s="19" t="inlineStr">
        <is>
          <t>Расчёт диагностики</t>
        </is>
      </c>
      <c r="E1" s="20" t="n"/>
      <c r="F1" s="20" t="n"/>
      <c r="G1" s="20" t="n"/>
      <c r="H1" s="20" t="n"/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</row>
    <row r="3">
      <c r="A3" s="21" t="inlineStr">
        <is>
          <t>Показатель</t>
        </is>
      </c>
      <c r="B3" s="21" t="inlineStr">
        <is>
          <t>Формула / значение</t>
        </is>
      </c>
      <c r="C3" s="21" t="inlineStr">
        <is>
          <t>Интерпретация</t>
        </is>
      </c>
      <c r="D3" s="21" t="inlineStr">
        <is>
          <t>Источник</t>
        </is>
      </c>
      <c r="E3" s="20" t="n"/>
      <c r="F3" s="25" t="inlineStr">
        <is>
          <t>Как читать расчет</t>
        </is>
      </c>
    </row>
    <row r="4">
      <c r="A4" s="22" t="inlineStr">
        <is>
          <t>Средний балл ролей и мандатов</t>
        </is>
      </c>
      <c r="B4" s="22">
        <f>IFERROR(AVERAGE('02_Роли_мандаты'!J5:J27),"")</f>
        <v/>
      </c>
      <c r="C4" s="22" t="inlineStr">
        <is>
          <t>0-3</t>
        </is>
      </c>
      <c r="D4" s="22" t="inlineStr">
        <is>
          <t>02_Роли_мандаты</t>
        </is>
      </c>
      <c r="E4" s="20" t="n"/>
      <c r="F4" s="26" t="inlineStr">
        <is>
          <t>CSS / индекс согласованности C-suite — это рабочий сигнал, а не академическая точность.</t>
        </is>
      </c>
      <c r="G4" s="33" t="n"/>
      <c r="H4" s="34" t="n"/>
    </row>
    <row r="5">
      <c r="A5" s="22" t="inlineStr">
        <is>
          <t>Средний балл решений и данных</t>
        </is>
      </c>
      <c r="B5" s="22">
        <f>IFERROR(AVERAGE('03_Решения_данные'!G5:G16),"")</f>
        <v/>
      </c>
      <c r="C5" s="22" t="inlineStr">
        <is>
          <t>0-3</t>
        </is>
      </c>
      <c r="D5" s="22" t="inlineStr">
        <is>
          <t>03_Решения_данные</t>
        </is>
      </c>
      <c r="E5" s="20" t="n"/>
      <c r="F5" s="26" t="inlineStr">
        <is>
          <t>GO / запускать: разрывы локальны. HOLD / пауза: есть значимые разрывы. NO-GO / остановить: ядро не работает как система.</t>
        </is>
      </c>
      <c r="G5" s="33" t="n"/>
      <c r="H5" s="34" t="n"/>
    </row>
    <row r="6">
      <c r="A6" s="22" t="inlineStr">
        <is>
          <t>CSS / индекс согласованности C-suite</t>
        </is>
      </c>
      <c r="B6" s="32">
        <f>IF(COUNTA(B4:B5)=0,"",IFERROR(ROUND(AVERAGE(B4:B5)/3*100,0),""))</f>
        <v/>
      </c>
      <c r="C6" s="22" t="inlineStr">
        <is>
          <t>0-100</t>
        </is>
      </c>
      <c r="D6" s="22" t="inlineStr">
        <is>
          <t>Среднее двух блоков</t>
        </is>
      </c>
      <c r="E6" s="20" t="n"/>
      <c r="F6" s="20" t="n"/>
      <c r="G6" s="20" t="n"/>
      <c r="H6" s="20" t="n"/>
    </row>
    <row r="7">
      <c r="A7" s="22" t="inlineStr">
        <is>
          <t>Статус</t>
        </is>
      </c>
      <c r="B7" s="22">
        <f>IF(B6="","",IF(B6&gt;=75,"GO / запускать",IF(B6&gt;=50,"HOLD / пауза","NO-GO / остановить")))</f>
        <v/>
      </c>
      <c r="C7" s="22" t="inlineStr">
        <is>
          <t>GO / HOLD / NO-GO</t>
        </is>
      </c>
      <c r="D7" s="22" t="inlineStr">
        <is>
          <t>Порог CSS</t>
        </is>
      </c>
      <c r="E7" s="20" t="n"/>
      <c r="F7" s="20" t="n"/>
      <c r="G7" s="20" t="n"/>
      <c r="H7" s="20" t="n"/>
    </row>
    <row r="8">
      <c r="A8" s="22" t="inlineStr">
        <is>
          <t>Заполненность ролей</t>
        </is>
      </c>
      <c r="B8" s="23">
        <f>IFERROR(COUNT('02_Роли_мандаты'!J5:J27)/23,0)</f>
        <v/>
      </c>
      <c r="C8" s="22" t="inlineStr">
        <is>
          <t>Доля заполненных проверок</t>
        </is>
      </c>
      <c r="D8" s="22" t="inlineStr">
        <is>
          <t>02_Роли_мандаты</t>
        </is>
      </c>
      <c r="E8" s="20" t="n"/>
      <c r="F8" s="20" t="n"/>
      <c r="G8" s="20" t="n"/>
      <c r="H8" s="20" t="n"/>
    </row>
    <row r="9">
      <c r="A9" s="22" t="inlineStr">
        <is>
          <t>Заполненность решений</t>
        </is>
      </c>
      <c r="B9" s="23">
        <f>IFERROR(COUNT('03_Решения_данные'!G5:G16)/12,0)</f>
        <v/>
      </c>
      <c r="C9" s="22" t="inlineStr">
        <is>
          <t>Доля заполненных проверок</t>
        </is>
      </c>
      <c r="D9" s="22" t="inlineStr">
        <is>
          <t>03_Решения_данные</t>
        </is>
      </c>
      <c r="E9" s="20" t="n"/>
      <c r="F9" s="20" t="n"/>
      <c r="G9" s="20" t="n"/>
      <c r="H9" s="20" t="n"/>
    </row>
    <row r="10">
      <c r="A10" s="22" t="inlineStr">
        <is>
          <t>Главный риск</t>
        </is>
      </c>
      <c r="B10" s="22">
        <f>IF(B6="","",IF(B6&lt;50,"C-level-ядро не работает как система",IF(B6&lt;75,"Есть значимые разрывы ролей, мандатов или данных","Разрывы локальны")))</f>
        <v/>
      </c>
      <c r="C10" s="22" t="inlineStr">
        <is>
          <t>Автовывод</t>
        </is>
      </c>
      <c r="D10" s="22" t="inlineStr">
        <is>
          <t>Статус + комментарии</t>
        </is>
      </c>
      <c r="E10" s="20" t="n"/>
      <c r="F10" s="20" t="n"/>
      <c r="G10" s="20" t="n"/>
      <c r="H10" s="20" t="n"/>
    </row>
    <row r="11">
      <c r="A11" s="22" t="inlineStr">
        <is>
          <t>Следующий блок</t>
        </is>
      </c>
      <c r="B11" s="22" t="str"/>
      <c r="C11" s="22" t="inlineStr">
        <is>
          <t>Выбирается в отчёте</t>
        </is>
      </c>
      <c r="D11" s="22" t="inlineStr">
        <is>
          <t>05_Отчет</t>
        </is>
      </c>
      <c r="E11" s="20" t="n"/>
      <c r="F11" s="20" t="n"/>
      <c r="G11" s="20" t="n"/>
      <c r="H11" s="20" t="n"/>
    </row>
    <row r="12">
      <c r="A12" s="22" t="inlineStr">
        <is>
          <t>Дата обновления</t>
        </is>
      </c>
      <c r="B12" s="22">
        <f>'01_Ввод'!B5</f>
        <v/>
      </c>
      <c r="C12" s="22" t="inlineStr">
        <is>
          <t>Ручной ввод</t>
        </is>
      </c>
      <c r="D12" s="22" t="inlineStr">
        <is>
          <t>01_Ввод</t>
        </is>
      </c>
      <c r="E12" s="20" t="n"/>
      <c r="F12" s="20" t="n"/>
      <c r="G12" s="20" t="n"/>
      <c r="H12" s="20" t="n"/>
    </row>
  </sheetData>
  <mergeCells count="4">
    <mergeCell ref="A1:D1"/>
    <mergeCell ref="F4:H4"/>
    <mergeCell ref="F3:H3"/>
    <mergeCell ref="F5:H5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6" customWidth="1" style="1" min="2" max="2"/>
    <col width="40" customWidth="1" style="1" min="3" max="3"/>
    <col width="34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12" customWidth="1" style="1" min="10" max="10"/>
  </cols>
  <sheetData>
    <row r="1">
      <c r="A1" s="19" t="inlineStr">
        <is>
          <t>Отчёт Блока 3</t>
        </is>
      </c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Поле</t>
        </is>
      </c>
      <c r="B3" s="21" t="inlineStr">
        <is>
          <t>Вывод</t>
        </is>
      </c>
      <c r="C3" s="20" t="n"/>
      <c r="D3" s="20" t="n"/>
      <c r="E3" s="20" t="n"/>
      <c r="F3" s="25" t="inlineStr">
        <is>
          <t>Шаблон короткого вывода</t>
        </is>
      </c>
      <c r="I3" s="20" t="n"/>
      <c r="J3" s="20" t="n"/>
    </row>
    <row r="4">
      <c r="A4" s="22" t="inlineStr">
        <is>
          <t>Клиент</t>
        </is>
      </c>
      <c r="B4" s="22">
        <f>IF('01_Ввод'!B4="","",'01_Ввод'!B4)</f>
        <v/>
      </c>
      <c r="C4" s="20" t="n"/>
      <c r="D4" s="20" t="n"/>
      <c r="E4" s="20" t="n"/>
      <c r="F4" s="26" t="inlineStr">
        <is>
          <t>Формула: главный разрыв → управленческий риск → следующий блок CLM → первое действие 30 дней.</t>
        </is>
      </c>
      <c r="G4" s="33" t="n"/>
      <c r="H4" s="34" t="n"/>
      <c r="I4" s="20" t="n"/>
      <c r="J4" s="20" t="n"/>
    </row>
    <row r="5">
      <c r="A5" s="22" t="inlineStr">
        <is>
          <t>CSS / индекс согласованности C-suite</t>
        </is>
      </c>
      <c r="B5" s="32">
        <f>IF('04_Расчет'!B6="","",'04_Расчет'!B6)</f>
        <v/>
      </c>
      <c r="C5" s="20" t="n"/>
      <c r="D5" s="20" t="n"/>
      <c r="E5" s="20" t="n"/>
      <c r="F5" s="26" t="inlineStr">
        <is>
          <t>Пример: решения возвращаются к CEO → мандаты не держатся → Блок 5 → закрепить владельцев решений и ритм review / разбора.</t>
        </is>
      </c>
      <c r="G5" s="33" t="n"/>
      <c r="H5" s="34" t="n"/>
      <c r="I5" s="20" t="n"/>
      <c r="J5" s="20" t="n"/>
    </row>
    <row r="6">
      <c r="A6" s="22" t="inlineStr">
        <is>
          <t>Статус</t>
        </is>
      </c>
      <c r="B6" s="22">
        <f>IF('04_Расчет'!B7="","",'04_Расчет'!B7)</f>
        <v/>
      </c>
      <c r="C6" s="20" t="n"/>
      <c r="D6" s="20" t="n"/>
      <c r="E6" s="20" t="n"/>
      <c r="F6" s="20" t="n"/>
      <c r="G6" s="20" t="n"/>
      <c r="H6" s="20" t="n"/>
      <c r="I6" s="20" t="n"/>
      <c r="J6" s="20" t="n"/>
    </row>
    <row r="7">
      <c r="A7" s="22" t="inlineStr">
        <is>
          <t>Главный риск</t>
        </is>
      </c>
      <c r="B7" s="22">
        <f>IF('04_Расчет'!B10="","",'04_Расчет'!B10)</f>
        <v/>
      </c>
      <c r="C7" s="20" t="n"/>
      <c r="D7" s="20" t="n"/>
      <c r="E7" s="20" t="n"/>
      <c r="F7" s="20" t="n"/>
      <c r="G7" s="20" t="n"/>
      <c r="H7" s="20" t="n"/>
      <c r="I7" s="20" t="n"/>
      <c r="J7" s="20" t="n"/>
    </row>
    <row r="8">
      <c r="A8" s="22" t="inlineStr">
        <is>
          <t>Рекомендуемый следующий блок</t>
        </is>
      </c>
      <c r="B8" s="29" t="str"/>
      <c r="C8" s="20" t="n"/>
      <c r="D8" s="20" t="n"/>
      <c r="E8" s="20" t="n"/>
      <c r="F8" s="20" t="n"/>
      <c r="G8" s="20" t="n"/>
      <c r="H8" s="20" t="n"/>
      <c r="I8" s="20" t="n"/>
      <c r="J8" s="20" t="n"/>
    </row>
    <row r="9">
      <c r="A9" s="22" t="inlineStr">
        <is>
          <t>Комментарий консультанта</t>
        </is>
      </c>
      <c r="B9" s="29" t="str"/>
      <c r="C9" s="20" t="n"/>
      <c r="D9" s="20" t="n"/>
      <c r="E9" s="20" t="n"/>
      <c r="F9" s="20" t="n"/>
      <c r="G9" s="20" t="n"/>
      <c r="H9" s="20" t="n"/>
      <c r="I9" s="20" t="n"/>
      <c r="J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</row>
    <row r="11">
      <c r="A11" s="31" t="inlineStr">
        <is>
          <t>Выводы для заинтересованных сторон</t>
        </is>
      </c>
    </row>
    <row r="12">
      <c r="A12" s="21" t="inlineStr">
        <is>
          <t>Сторона</t>
        </is>
      </c>
      <c r="B12" s="21" t="inlineStr">
        <is>
          <t>Что показать</t>
        </is>
      </c>
      <c r="C12" s="21" t="inlineStr">
        <is>
          <t>Что не включать</t>
        </is>
      </c>
      <c r="D12" s="21" t="inlineStr">
        <is>
          <t>Решение</t>
        </is>
      </c>
      <c r="E12" s="20" t="n"/>
      <c r="F12" s="20" t="n"/>
      <c r="G12" s="20" t="n"/>
      <c r="H12" s="20" t="n"/>
      <c r="I12" s="20" t="n"/>
      <c r="J12" s="20" t="n"/>
    </row>
    <row r="13">
      <c r="A13" s="22" t="inlineStr">
        <is>
          <t>CEO / генеральный директор</t>
        </is>
      </c>
      <c r="B13" s="22" t="inlineStr">
        <is>
          <t>Где решения возвращаются к CEO и какие мандаты нужно закрепить</t>
        </is>
      </c>
      <c r="C13" s="22" t="inlineStr">
        <is>
          <t>Психологические оценки директоров</t>
        </is>
      </c>
      <c r="D13" s="29" t="str"/>
      <c r="E13" s="20" t="n"/>
      <c r="F13" s="20" t="n"/>
      <c r="G13" s="20" t="n"/>
      <c r="H13" s="20" t="n"/>
      <c r="I13" s="20" t="n"/>
      <c r="J13" s="20" t="n"/>
    </row>
    <row r="14">
      <c r="A14" s="22" t="inlineStr">
        <is>
          <t>C-level-команда / первый управленческий круг</t>
        </is>
      </c>
      <c r="B14" s="22" t="inlineStr">
        <is>
          <t>Какие роли, данные, ритмы и связки мешают общему результату</t>
        </is>
      </c>
      <c r="C14" s="22" t="inlineStr">
        <is>
          <t>Обвинительный список претензий</t>
        </is>
      </c>
      <c r="D14" s="29" t="str"/>
      <c r="E14" s="20" t="n"/>
      <c r="F14" s="20" t="n"/>
      <c r="G14" s="20" t="n"/>
      <c r="H14" s="20" t="n"/>
      <c r="I14" s="20" t="n"/>
      <c r="J14" s="20" t="n"/>
    </row>
    <row r="15">
      <c r="A15" s="22" t="inlineStr">
        <is>
          <t>Владелец компании</t>
        </is>
      </c>
      <c r="B15" s="22" t="inlineStr">
        <is>
          <t>Какие системные разрывы угрожают стоимости, скорости и управляемости</t>
        </is>
      </c>
      <c r="C15" s="22" t="inlineStr">
        <is>
          <t>Детали всех рабочих строк</t>
        </is>
      </c>
      <c r="D15" s="29" t="str"/>
      <c r="E15" s="20" t="n"/>
      <c r="F15" s="20" t="n"/>
      <c r="G15" s="20" t="n"/>
      <c r="H15" s="20" t="n"/>
      <c r="I15" s="20" t="n"/>
      <c r="J15" s="20" t="n"/>
    </row>
    <row r="16">
      <c r="A16" s="22" t="inlineStr">
        <is>
          <t>Board / совет директоров</t>
        </is>
      </c>
      <c r="B16" s="22" t="inlineStr">
        <is>
          <t>Какой управленческий риск выявлен и какой блок CLM нужен дальше</t>
        </is>
      </c>
      <c r="C16" s="22" t="inlineStr">
        <is>
          <t>Операционные мелочи без решения</t>
        </is>
      </c>
      <c r="D16" s="29" t="str"/>
      <c r="E16" s="20" t="n"/>
      <c r="F16" s="20" t="n"/>
      <c r="G16" s="20" t="n"/>
      <c r="H16" s="20" t="n"/>
      <c r="I16" s="20" t="n"/>
      <c r="J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</row>
    <row r="18">
      <c r="A18" s="31" t="inlineStr">
        <is>
          <t>Карта выбора следующего блока</t>
        </is>
      </c>
    </row>
    <row r="19">
      <c r="A19" s="21" t="inlineStr">
        <is>
          <t>Сигнал</t>
        </is>
      </c>
      <c r="B19" s="21" t="inlineStr">
        <is>
          <t>Следующий блок</t>
        </is>
      </c>
      <c r="C19" s="21" t="inlineStr">
        <is>
          <t>Почему</t>
        </is>
      </c>
      <c r="D19" s="20" t="n"/>
      <c r="E19" s="20" t="n"/>
      <c r="F19" s="20" t="n"/>
      <c r="G19" s="20" t="n"/>
      <c r="H19" s="20" t="n"/>
      <c r="I19" s="20" t="n"/>
      <c r="J19" s="20" t="n"/>
    </row>
    <row r="20">
      <c r="A20" s="22" t="inlineStr">
        <is>
          <t>Роль есть формально, но не держит мандат</t>
        </is>
      </c>
      <c r="B20" s="22" t="inlineStr">
        <is>
          <t>Блок 4</t>
        </is>
      </c>
      <c r="C20" s="22" t="inlineStr">
        <is>
          <t>Оценить руководителя относительно роли и мандата</t>
        </is>
      </c>
      <c r="D20" s="20" t="n"/>
      <c r="E20" s="20" t="n"/>
      <c r="F20" s="20" t="n"/>
      <c r="G20" s="20" t="n"/>
      <c r="H20" s="20" t="n"/>
      <c r="I20" s="20" t="n"/>
      <c r="J20" s="20" t="n"/>
    </row>
    <row r="21">
      <c r="A21" s="22" t="inlineStr">
        <is>
          <t>Решения застревают между ролями</t>
        </is>
      </c>
      <c r="B21" s="22" t="inlineStr">
        <is>
          <t>Блок 5</t>
        </is>
      </c>
      <c r="C21" s="22" t="inlineStr">
        <is>
          <t>Собрать Decision OS / операционную систему решений</t>
        </is>
      </c>
      <c r="D21" s="20" t="n"/>
      <c r="E21" s="20" t="n"/>
      <c r="F21" s="20" t="n"/>
      <c r="G21" s="20" t="n"/>
      <c r="H21" s="20" t="n"/>
      <c r="I21" s="20" t="n"/>
      <c r="J21" s="20" t="n"/>
    </row>
    <row r="22">
      <c r="A22" s="22" t="inlineStr">
        <is>
          <t>Функции спорят о KPI / ключевых показателях</t>
        </is>
      </c>
      <c r="B22" s="22" t="inlineStr">
        <is>
          <t>Блок 6</t>
        </is>
      </c>
      <c r="C22" s="22" t="inlineStr">
        <is>
          <t>Сшить роли, показатели, доверие и общий ритм</t>
        </is>
      </c>
      <c r="D22" s="20" t="n"/>
      <c r="E22" s="20" t="n"/>
      <c r="F22" s="20" t="n"/>
      <c r="G22" s="20" t="n"/>
      <c r="H22" s="20" t="n"/>
      <c r="I22" s="20" t="n"/>
      <c r="J22" s="20" t="n"/>
    </row>
    <row r="23">
      <c r="A23" s="22" t="inlineStr">
        <is>
          <t>Команда не держит нагрузку</t>
        </is>
      </c>
      <c r="B23" s="22" t="inlineStr">
        <is>
          <t>Блок 7</t>
        </is>
      </c>
      <c r="C23" s="22" t="inlineStr">
        <is>
          <t>Проверить устойчивость C-level-ядра</t>
        </is>
      </c>
      <c r="D23" s="20" t="n"/>
      <c r="E23" s="20" t="n"/>
      <c r="F23" s="20" t="n"/>
      <c r="G23" s="20" t="n"/>
      <c r="H23" s="20" t="n"/>
      <c r="I23" s="20" t="n"/>
      <c r="J23" s="20" t="n"/>
    </row>
    <row r="24">
      <c r="A24" s="22" t="inlineStr">
        <is>
          <t>CEO держит всё вручную</t>
        </is>
      </c>
      <c r="B24" s="22" t="inlineStr">
        <is>
          <t>Блок 8</t>
        </is>
      </c>
      <c r="C24" s="22" t="inlineStr">
        <is>
          <t>Перевести лидерство от контроля к мандатам</t>
        </is>
      </c>
      <c r="D24" s="20" t="n"/>
      <c r="E24" s="20" t="n"/>
      <c r="F24" s="20" t="n"/>
      <c r="G24" s="20" t="n"/>
      <c r="H24" s="20" t="n"/>
      <c r="I24" s="20" t="n"/>
      <c r="J24" s="20" t="n"/>
    </row>
    <row r="25">
      <c r="A25" s="22" t="inlineStr">
        <is>
          <t>AI / ИИ влияет на работу без владельца</t>
        </is>
      </c>
      <c r="B25" s="22" t="inlineStr">
        <is>
          <t>Блок 9</t>
        </is>
      </c>
      <c r="C25" s="22" t="inlineStr">
        <is>
          <t>Встроить AI / ИИ в мандаты, данные и ответственность</t>
        </is>
      </c>
      <c r="D25" s="20" t="n"/>
      <c r="E25" s="20" t="n"/>
      <c r="F25" s="20" t="n"/>
      <c r="G25" s="20" t="n"/>
      <c r="H25" s="20" t="n"/>
      <c r="I25" s="20" t="n"/>
      <c r="J25" s="20" t="n"/>
    </row>
    <row r="26">
      <c r="A26" s="22" t="inlineStr">
        <is>
          <t>Нет постоянной панели состояния</t>
        </is>
      </c>
      <c r="B26" s="22" t="inlineStr">
        <is>
          <t>Блок 10</t>
        </is>
      </c>
      <c r="C26" s="22" t="inlineStr">
        <is>
          <t>Собрать панель 7 приборов CLM</t>
        </is>
      </c>
      <c r="D26" s="20" t="n"/>
      <c r="E26" s="20" t="n"/>
      <c r="F26" s="20" t="n"/>
      <c r="G26" s="20" t="n"/>
      <c r="H26" s="20" t="n"/>
      <c r="I26" s="20" t="n"/>
      <c r="J26" s="20" t="n"/>
    </row>
  </sheetData>
  <mergeCells count="6">
    <mergeCell ref="A1:J1"/>
    <mergeCell ref="F5:H5"/>
    <mergeCell ref="A18:J18"/>
    <mergeCell ref="F4:H4"/>
    <mergeCell ref="F3:H3"/>
    <mergeCell ref="A11:J11"/>
  </mergeCells>
  <dataValidations count="1">
    <dataValidation sqref="B8" showDropDown="0" showInputMessage="0" showErrorMessage="0" allowBlank="0" type="list">
      <formula1>"Блок 4,Блок 5,Блок 6,Блок 7,Блок 8,Блок 9,Блок 10"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style="1" min="1" max="1"/>
    <col width="20" customWidth="1" style="1" min="2" max="2"/>
    <col width="34" customWidth="1" style="1" min="3" max="3"/>
    <col width="70" customWidth="1" style="1" min="4" max="4"/>
    <col width="4" customWidth="1" style="1" min="5" max="5"/>
    <col width="18" customWidth="1" style="1" min="6" max="6"/>
    <col width="10" customWidth="1" style="1" min="7" max="7"/>
    <col width="10" customWidth="1" style="1" min="8" max="8"/>
    <col width="18" customWidth="1" style="1" min="9" max="9"/>
  </cols>
  <sheetData>
    <row r="1">
      <c r="A1" s="21" t="inlineStr">
        <is>
          <t>Контур</t>
        </is>
      </c>
      <c r="B1" s="21" t="inlineStr">
        <is>
          <t>Роль</t>
        </is>
      </c>
      <c r="C1" s="21" t="inlineStr">
        <is>
          <t>Русское название</t>
        </is>
      </c>
      <c r="D1" s="21" t="inlineStr">
        <is>
          <t>Мандаты</t>
        </is>
      </c>
      <c r="E1" s="20" t="n"/>
      <c r="F1" s="21" t="inlineStr">
        <is>
          <t>Статус роли</t>
        </is>
      </c>
      <c r="G1" s="21" t="inlineStr">
        <is>
          <t>Оценка</t>
        </is>
      </c>
      <c r="H1" s="21" t="inlineStr">
        <is>
          <t>Модель</t>
        </is>
      </c>
      <c r="I1" s="21" t="inlineStr">
        <is>
          <t>Статус</t>
        </is>
      </c>
    </row>
    <row r="2">
      <c r="A2" s="22" t="inlineStr">
        <is>
          <t>Стратегическое ядро</t>
        </is>
      </c>
      <c r="B2" s="22" t="inlineStr">
        <is>
          <t>CEO</t>
        </is>
      </c>
      <c r="C2" s="22" t="inlineStr">
        <is>
          <t>Генеральный директор</t>
        </is>
      </c>
      <c r="D2" s="22" t="inlineStr">
        <is>
          <t>Стратегический курс; целостность C-level-ядра; финальный выбор</t>
        </is>
      </c>
      <c r="E2" s="20" t="n"/>
      <c r="F2" s="22" t="inlineStr">
        <is>
          <t>Выделена</t>
        </is>
      </c>
      <c r="G2" s="22" t="n">
        <v>0</v>
      </c>
      <c r="H2" s="22" t="n">
        <v>7</v>
      </c>
      <c r="I2" s="22" t="inlineStr">
        <is>
          <t>GO / запускать</t>
        </is>
      </c>
    </row>
    <row r="3">
      <c r="A3" s="22" t="inlineStr">
        <is>
          <t>Стратегическое ядро</t>
        </is>
      </c>
      <c r="B3" s="22" t="inlineStr">
        <is>
          <t>CVO Development</t>
        </is>
      </c>
      <c r="C3" s="22" t="inlineStr">
        <is>
          <t>Директор по развитию / стратегическому видению</t>
        </is>
      </c>
      <c r="D3" s="22" t="inlineStr">
        <is>
          <t>Развитие бизнеса; стратегические инициативы; новые направления</t>
        </is>
      </c>
      <c r="E3" s="20" t="n"/>
      <c r="F3" s="22" t="inlineStr">
        <is>
          <t>Совмещена</t>
        </is>
      </c>
      <c r="G3" s="22" t="n">
        <v>1</v>
      </c>
      <c r="H3" s="22" t="n">
        <v>15</v>
      </c>
      <c r="I3" s="22" t="inlineStr">
        <is>
          <t>HOLD / пауза</t>
        </is>
      </c>
    </row>
    <row r="4">
      <c r="A4" s="22" t="inlineStr">
        <is>
          <t>Стратегическое ядро</t>
        </is>
      </c>
      <c r="B4" s="22" t="inlineStr">
        <is>
          <t>CFO</t>
        </is>
      </c>
      <c r="C4" s="22" t="inlineStr">
        <is>
          <t>Финансовый директор</t>
        </is>
      </c>
      <c r="D4" s="22" t="inlineStr">
        <is>
          <t>P&amp;L / прибыль и убытки; cash flow / денежный поток; финансовая проверка решений</t>
        </is>
      </c>
      <c r="E4" s="20" t="n"/>
      <c r="F4" s="22" t="inlineStr">
        <is>
          <t>Нет</t>
        </is>
      </c>
      <c r="G4" s="22" t="n">
        <v>2</v>
      </c>
      <c r="H4" s="22" t="n">
        <v>23</v>
      </c>
      <c r="I4" s="22" t="inlineStr">
        <is>
          <t>NO-GO / остановить</t>
        </is>
      </c>
    </row>
    <row r="5">
      <c r="A5" s="22" t="inlineStr">
        <is>
          <t>Операционное ядро</t>
        </is>
      </c>
      <c r="B5" s="22" t="inlineStr">
        <is>
          <t>COO</t>
        </is>
      </c>
      <c r="C5" s="22" t="inlineStr">
        <is>
          <t>Операционный директор</t>
        </is>
      </c>
      <c r="D5" s="22" t="inlineStr">
        <is>
          <t>Исполнение; процессы; производительность; устранение узких мест</t>
        </is>
      </c>
      <c r="E5" s="20" t="n"/>
      <c r="F5" s="22" t="n"/>
      <c r="G5" s="22" t="n">
        <v>3</v>
      </c>
      <c r="H5" s="22" t="n"/>
      <c r="I5" s="22" t="n"/>
    </row>
    <row r="6">
      <c r="A6" s="22" t="inlineStr">
        <is>
          <t>Операционное ядро</t>
        </is>
      </c>
      <c r="B6" s="22" t="inlineStr">
        <is>
          <t>CAO Admin</t>
        </is>
      </c>
      <c r="C6" s="22" t="inlineStr">
        <is>
          <t>Административный директор</t>
        </is>
      </c>
      <c r="D6" s="22" t="inlineStr">
        <is>
          <t>Административный порядок; внутренние сервисы; регламенты</t>
        </is>
      </c>
      <c r="E6" s="20" t="n"/>
      <c r="F6" s="20" t="n"/>
      <c r="G6" s="20" t="n"/>
      <c r="H6" s="20" t="n"/>
      <c r="I6" s="20" t="n"/>
    </row>
    <row r="7">
      <c r="A7" s="22" t="inlineStr">
        <is>
          <t>Операционное ядро</t>
        </is>
      </c>
      <c r="B7" s="22" t="inlineStr">
        <is>
          <t>CPO Procurement</t>
        </is>
      </c>
      <c r="C7" s="22" t="inlineStr">
        <is>
          <t>Директор по закупкам</t>
        </is>
      </c>
      <c r="D7" s="22" t="inlineStr">
        <is>
          <t>Закупки; поставщики; TCO / совокупная стоимость владения</t>
        </is>
      </c>
      <c r="E7" s="20" t="n"/>
      <c r="F7" s="20" t="n"/>
      <c r="G7" s="20" t="n"/>
      <c r="H7" s="20" t="n"/>
      <c r="I7" s="20" t="n"/>
    </row>
    <row r="8">
      <c r="A8" s="22" t="inlineStr">
        <is>
          <t>Операционное ядро</t>
        </is>
      </c>
      <c r="B8" s="22" t="inlineStr">
        <is>
          <t>CRO Risk</t>
        </is>
      </c>
      <c r="C8" s="22" t="inlineStr">
        <is>
          <t>Директор по рискам</t>
        </is>
      </c>
      <c r="D8" s="22" t="inlineStr">
        <is>
          <t>Риск-карта; риск-аппетит; сценарные риски</t>
        </is>
      </c>
      <c r="E8" s="20" t="n"/>
      <c r="F8" s="20" t="n"/>
      <c r="G8" s="20" t="n"/>
      <c r="H8" s="20" t="n"/>
      <c r="I8" s="20" t="n"/>
    </row>
    <row r="9">
      <c r="A9" s="22" t="inlineStr">
        <is>
          <t>Операционное ядро</t>
        </is>
      </c>
      <c r="B9" s="22" t="inlineStr">
        <is>
          <t>CAO Accounting</t>
        </is>
      </c>
      <c r="C9" s="22" t="inlineStr">
        <is>
          <t>Главный бухгалтер / директор по учётному контуру</t>
        </is>
      </c>
      <c r="D9" s="22" t="inlineStr">
        <is>
          <t>Учёт; налоги; достоверность финансовых данных</t>
        </is>
      </c>
      <c r="E9" s="20" t="n"/>
      <c r="F9" s="20" t="n"/>
      <c r="G9" s="20" t="n"/>
      <c r="H9" s="20" t="n"/>
      <c r="I9" s="20" t="n"/>
    </row>
    <row r="10">
      <c r="A10" s="22" t="inlineStr">
        <is>
          <t>Коммерческое ядро</t>
        </is>
      </c>
      <c r="B10" s="22" t="inlineStr">
        <is>
          <t>CSO Sales</t>
        </is>
      </c>
      <c r="C10" s="22" t="inlineStr">
        <is>
          <t>Коммерческий директор / директор по продажам</t>
        </is>
      </c>
      <c r="D10" s="22" t="inlineStr">
        <is>
          <t>Продажи; pipeline / воронка продаж; коммерческое исполнение</t>
        </is>
      </c>
      <c r="E10" s="20" t="n"/>
      <c r="F10" s="20" t="n"/>
      <c r="G10" s="20" t="n"/>
      <c r="H10" s="20" t="n"/>
      <c r="I10" s="20" t="n"/>
    </row>
    <row r="11">
      <c r="A11" s="22" t="inlineStr">
        <is>
          <t>Коммерческое ядро</t>
        </is>
      </c>
      <c r="B11" s="22" t="inlineStr">
        <is>
          <t>CMO</t>
        </is>
      </c>
      <c r="C11" s="22" t="inlineStr">
        <is>
          <t>Директор по маркетингу</t>
        </is>
      </c>
      <c r="D11" s="22" t="inlineStr">
        <is>
          <t>Спрос; бренд; маркетинговая эффективность</t>
        </is>
      </c>
      <c r="E11" s="20" t="n"/>
      <c r="F11" s="20" t="n"/>
      <c r="G11" s="20" t="n"/>
      <c r="H11" s="20" t="n"/>
      <c r="I11" s="20" t="n"/>
    </row>
    <row r="12">
      <c r="A12" s="22" t="inlineStr">
        <is>
          <t>Коммерческое ядро</t>
        </is>
      </c>
      <c r="B12" s="22" t="inlineStr">
        <is>
          <t>CPO Product</t>
        </is>
      </c>
      <c r="C12" s="22" t="inlineStr">
        <is>
          <t>Директор по продукту</t>
        </is>
      </c>
      <c r="D12" s="22" t="inlineStr">
        <is>
          <t>Продуктовая ценность; roadmap / дорожная карта; экономика продукта</t>
        </is>
      </c>
      <c r="E12" s="20" t="n"/>
      <c r="F12" s="20" t="n"/>
      <c r="G12" s="20" t="n"/>
      <c r="H12" s="20" t="n"/>
      <c r="I12" s="20" t="n"/>
    </row>
    <row r="13">
      <c r="A13" s="22" t="inlineStr">
        <is>
          <t>Коммерческое ядро</t>
        </is>
      </c>
      <c r="B13" s="22" t="inlineStr">
        <is>
          <t>CRO Revenue</t>
        </is>
      </c>
      <c r="C13" s="22" t="inlineStr">
        <is>
          <t>Директор по доходам</t>
        </is>
      </c>
      <c r="D13" s="22" t="inlineStr">
        <is>
          <t>Монетизация; жизненный цикл выручки; удержание дохода</t>
        </is>
      </c>
      <c r="E13" s="20" t="n"/>
      <c r="F13" s="20" t="n"/>
      <c r="G13" s="20" t="n"/>
      <c r="H13" s="20" t="n"/>
      <c r="I13" s="20" t="n"/>
    </row>
    <row r="14">
      <c r="A14" s="22" t="inlineStr">
        <is>
          <t>Технологическое ядро</t>
        </is>
      </c>
      <c r="B14" s="22" t="inlineStr">
        <is>
          <t>CTO</t>
        </is>
      </c>
      <c r="C14" s="22" t="inlineStr">
        <is>
          <t>Технический директор</t>
        </is>
      </c>
      <c r="D14" s="22" t="inlineStr">
        <is>
          <t>Технологическая архитектура; разработка; инженерная устойчивость</t>
        </is>
      </c>
      <c r="E14" s="20" t="n"/>
      <c r="F14" s="20" t="n"/>
      <c r="G14" s="20" t="n"/>
      <c r="H14" s="20" t="n"/>
      <c r="I14" s="20" t="n"/>
    </row>
    <row r="15">
      <c r="A15" s="22" t="inlineStr">
        <is>
          <t>Технологическое ядро</t>
        </is>
      </c>
      <c r="B15" s="22" t="inlineStr">
        <is>
          <t>CIO</t>
        </is>
      </c>
      <c r="C15" s="22" t="inlineStr">
        <is>
          <t>Директор по информационным технологиям</t>
        </is>
      </c>
      <c r="D15" s="22" t="inlineStr">
        <is>
          <t>ИТ-инфраструктура; системы; доступы; данные</t>
        </is>
      </c>
      <c r="E15" s="20" t="n"/>
      <c r="F15" s="20" t="n"/>
      <c r="G15" s="20" t="n"/>
      <c r="H15" s="20" t="n"/>
      <c r="I15" s="20" t="n"/>
    </row>
    <row r="16">
      <c r="A16" s="22" t="inlineStr">
        <is>
          <t>Технологическое ядро</t>
        </is>
      </c>
      <c r="B16" s="22" t="inlineStr">
        <is>
          <t>CAIO</t>
        </is>
      </c>
      <c r="C16" s="22" t="inlineStr">
        <is>
          <t>Директор по искусственному интеллекту</t>
        </is>
      </c>
      <c r="D16" s="22" t="inlineStr">
        <is>
          <t>AI / ИИ-стратегия; портфель кейсов; управление рисками</t>
        </is>
      </c>
      <c r="E16" s="20" t="n"/>
      <c r="F16" s="20" t="n"/>
      <c r="G16" s="20" t="n"/>
      <c r="H16" s="20" t="n"/>
      <c r="I16" s="20" t="n"/>
    </row>
    <row r="17">
      <c r="A17" s="22" t="inlineStr">
        <is>
          <t>Технологическое ядро</t>
        </is>
      </c>
      <c r="B17" s="22" t="inlineStr">
        <is>
          <t>CDO</t>
        </is>
      </c>
      <c r="C17" s="22" t="inlineStr">
        <is>
          <t>Цифровой директор</t>
        </is>
      </c>
      <c r="D17" s="22" t="inlineStr">
        <is>
          <t>Цифровая трансформация; цифровые каналы; digital / цифровая архитектура</t>
        </is>
      </c>
      <c r="E17" s="20" t="n"/>
      <c r="F17" s="20" t="n"/>
      <c r="G17" s="20" t="n"/>
      <c r="H17" s="20" t="n"/>
      <c r="I17" s="20" t="n"/>
    </row>
    <row r="18">
      <c r="A18" s="22" t="inlineStr">
        <is>
          <t>Человеческий и культурный контур</t>
        </is>
      </c>
      <c r="B18" s="22" t="inlineStr">
        <is>
          <t>CHRO</t>
        </is>
      </c>
      <c r="C18" s="22" t="inlineStr">
        <is>
          <t>Директор по персоналу</t>
        </is>
      </c>
      <c r="D18" s="22" t="inlineStr">
        <is>
          <t>Люди; роли; компетенции; культура; удержание</t>
        </is>
      </c>
      <c r="E18" s="20" t="n"/>
      <c r="F18" s="20" t="n"/>
      <c r="G18" s="20" t="n"/>
      <c r="H18" s="20" t="n"/>
      <c r="I18" s="20" t="n"/>
    </row>
    <row r="19">
      <c r="A19" s="22" t="inlineStr">
        <is>
          <t>Человеческий и культурный контур</t>
        </is>
      </c>
      <c r="B19" s="22" t="inlineStr">
        <is>
          <t>CHO</t>
        </is>
      </c>
      <c r="C19" s="22" t="inlineStr">
        <is>
          <t>Директор по вовлечённости / эмоциональному капиталу</t>
        </is>
      </c>
      <c r="D19" s="22" t="inlineStr">
        <is>
          <t>Вовлечённость; доверие; энергия; профилактика выгорания</t>
        </is>
      </c>
      <c r="E19" s="20" t="n"/>
      <c r="F19" s="20" t="n"/>
      <c r="G19" s="20" t="n"/>
      <c r="H19" s="20" t="n"/>
      <c r="I19" s="20" t="n"/>
    </row>
    <row r="20">
      <c r="A20" s="22" t="inlineStr">
        <is>
          <t>Человеческий и культурный контур</t>
        </is>
      </c>
      <c r="B20" s="22" t="inlineStr">
        <is>
          <t>CCO</t>
        </is>
      </c>
      <c r="C20" s="22" t="inlineStr">
        <is>
          <t>Директор по комплаенсу</t>
        </is>
      </c>
      <c r="D20" s="22" t="inlineStr">
        <is>
          <t>Комплаенс; допустимость решений; этика</t>
        </is>
      </c>
      <c r="E20" s="20" t="n"/>
      <c r="F20" s="20" t="n"/>
      <c r="G20" s="20" t="n"/>
      <c r="H20" s="20" t="n"/>
      <c r="I20" s="20" t="n"/>
    </row>
    <row r="21">
      <c r="A21" s="22" t="inlineStr">
        <is>
          <t>Человеческий и культурный контур</t>
        </is>
      </c>
      <c r="B21" s="22" t="inlineStr">
        <is>
          <t>CSO Security</t>
        </is>
      </c>
      <c r="C21" s="22" t="inlineStr">
        <is>
          <t>Директор по безопасности</t>
        </is>
      </c>
      <c r="D21" s="22" t="inlineStr">
        <is>
          <t>Безопасность людей; активов; данных и систем</t>
        </is>
      </c>
      <c r="E21" s="20" t="n"/>
      <c r="F21" s="20" t="n"/>
      <c r="G21" s="20" t="n"/>
      <c r="H21" s="20" t="n"/>
      <c r="I21" s="20" t="n"/>
    </row>
    <row r="22">
      <c r="A22" s="22" t="inlineStr">
        <is>
          <t>Инновационно-аналитический контур</t>
        </is>
      </c>
      <c r="B22" s="22" t="inlineStr">
        <is>
          <t>CAO Analytics</t>
        </is>
      </c>
      <c r="C22" s="22" t="inlineStr">
        <is>
          <t>Директор по аналитике</t>
        </is>
      </c>
      <c r="D22" s="22" t="inlineStr">
        <is>
          <t>Метрики; единая версия данных; управленческие выводы</t>
        </is>
      </c>
      <c r="E22" s="20" t="n"/>
      <c r="F22" s="20" t="n"/>
      <c r="G22" s="20" t="n"/>
      <c r="H22" s="20" t="n"/>
      <c r="I22" s="20" t="n"/>
    </row>
    <row r="23">
      <c r="A23" s="22" t="inlineStr">
        <is>
          <t>Инновационно-аналитический контур</t>
        </is>
      </c>
      <c r="B23" s="22" t="inlineStr">
        <is>
          <t>CAO Automation</t>
        </is>
      </c>
      <c r="C23" s="22" t="inlineStr">
        <is>
          <t>Директор по автоматизации</t>
        </is>
      </c>
      <c r="D23" s="22" t="inlineStr">
        <is>
          <t>Автоматизация процессов; производительность</t>
        </is>
      </c>
      <c r="E23" s="20" t="n"/>
      <c r="F23" s="20" t="n"/>
      <c r="G23" s="20" t="n"/>
      <c r="H23" s="20" t="n"/>
      <c r="I23" s="20" t="n"/>
    </row>
    <row r="24">
      <c r="A24" s="22" t="inlineStr">
        <is>
          <t>Инновационно-аналитический контур</t>
        </is>
      </c>
      <c r="B24" s="22" t="inlineStr">
        <is>
          <t>CVO Foresight</t>
        </is>
      </c>
      <c r="C24" s="22" t="inlineStr">
        <is>
          <t>Директор по форсайту / стратегическому прогнозированию</t>
        </is>
      </c>
      <c r="D24" s="22" t="inlineStr">
        <is>
          <t>Слабые сигналы; сценарии; будущие развилки</t>
        </is>
      </c>
      <c r="E24" s="20" t="n"/>
      <c r="F24" s="20" t="n"/>
      <c r="G24" s="20" t="n"/>
      <c r="H24" s="20" t="n"/>
      <c r="I24" s="20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CLM_BLOCK_03_DIAGNOSTIC_TOOLKIT_RELEASE_V2_LIGHT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2026-07-05T05:02:58Z</dcterms:created>
  <dcterms:modified xmlns:dcterms="http://purl.org/dc/terms/" xmlns:xsi="http://www.w3.org/2001/XMLSchema-instance" xsi:type="dcterms:W3CDTF">2026-07-21T08:33:50Z</dcterms:modified>
</cp:coreProperties>
</file>