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Панель" sheetId="1" state="visible" r:id="rId1"/>
    <sheet xmlns:r="http://schemas.openxmlformats.org/officeDocument/2006/relationships" name="01_Ввод" sheetId="2" state="visible" r:id="rId2"/>
    <sheet xmlns:r="http://schemas.openxmlformats.org/officeDocument/2006/relationships" name="02_Профиль" sheetId="3" state="visible" r:id="rId3"/>
    <sheet xmlns:r="http://schemas.openxmlformats.org/officeDocument/2006/relationships" name="03_Доказательства" sheetId="4" state="visible" r:id="rId4"/>
    <sheet xmlns:r="http://schemas.openxmlformats.org/officeDocument/2006/relationships" name="04_Расчет" sheetId="5" state="visible" r:id="rId5"/>
    <sheet xmlns:r="http://schemas.openxmlformats.org/officeDocument/2006/relationships" name="05_Отчет" sheetId="6" state="visible" r:id="rId6"/>
    <sheet xmlns:r="http://schemas.openxmlformats.org/officeDocument/2006/relationships" name="90_Справочник" sheetId="7" state="visible" r:id="rId7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10">
    <font>
      <name val="Carlito"/>
      <sz val="11"/>
    </font>
    <font>
      <name val="Carlito"/>
      <b val="1"/>
      <color rgb="FFFFFFFF"/>
      <sz val="11"/>
    </font>
    <font>
      <name val="Carlito"/>
      <color rgb="FF111827"/>
      <sz val="10"/>
    </font>
    <font>
      <name val="Carlito"/>
      <b val="1"/>
      <color rgb="FF0B1F33"/>
      <sz val="16"/>
    </font>
    <font>
      <name val="Carlito"/>
      <b val="1"/>
      <color rgb="FF0F766E"/>
      <sz val="11"/>
    </font>
    <font>
      <name val="Carlito"/>
      <b val="1"/>
      <color rgb="FF0B1F33"/>
      <sz val="11"/>
    </font>
    <font>
      <name val="Arial"/>
      <b val="1"/>
      <color rgb="000B1F33"/>
      <sz val="16"/>
    </font>
    <font>
      <name val="Arial"/>
      <b val="1"/>
      <color rgb="00FFFFFF"/>
      <sz val="10"/>
    </font>
    <font>
      <name val="Arial"/>
      <color rgb="00111827"/>
      <sz val="10"/>
    </font>
    <font>
      <name val="Arial"/>
      <b val="1"/>
      <color rgb="000B1F33"/>
      <sz val="11"/>
    </font>
  </fonts>
  <fills count="6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0F766E"/>
      </patternFill>
    </fill>
    <fill>
      <patternFill patternType="solid">
        <fgColor rgb="00FFF7ED"/>
      </patternFill>
    </fill>
    <fill>
      <patternFill patternType="solid">
        <fgColor rgb="00F3EBDD"/>
      </patternFill>
    </fill>
  </fills>
  <borders count="9">
    <border/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FDBA74"/>
      </left>
      <right style="thin">
        <color rgb="FFFDBA74"/>
      </right>
      <top style="thin">
        <color rgb="FFFDBA74"/>
      </top>
      <bottom style="thin">
        <color rgb="FFFDBA74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FDBA74"/>
      </left>
      <right style="thin">
        <color rgb="00FDBA74"/>
      </right>
      <top style="thin">
        <color rgb="00FDBA74"/>
      </top>
      <bottom style="thin">
        <color rgb="00FDBA74"/>
      </bottom>
    </border>
    <border>
      <top style="thin">
        <color rgb="00CBD5E1"/>
      </top>
    </border>
    <border>
      <right style="thin">
        <color rgb="00CBD5E1"/>
      </right>
      <top style="thin">
        <color rgb="00CBD5E1"/>
      </top>
    </border>
    <border>
      <top style="thin">
        <color rgb="00CBD5E1"/>
      </top>
      <bottom style="thin">
        <color rgb="00CBD5E1"/>
      </bottom>
    </border>
    <border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3" fillId="0" borderId="0" pivotButton="0" quotePrefix="0" xfId="0"/>
    <xf numFmtId="0" fontId="2" fillId="0" borderId="1" applyAlignment="1" pivotButton="0" quotePrefix="0" xfId="0">
      <alignment wrapText="1"/>
    </xf>
    <xf numFmtId="0" fontId="2" fillId="0" borderId="2" applyAlignment="1" pivotButton="0" quotePrefix="0" xfId="0">
      <alignment wrapText="1"/>
    </xf>
    <xf numFmtId="164" fontId="2" fillId="0" borderId="2" applyAlignment="1" pivotButton="0" quotePrefix="0" xfId="0">
      <alignment wrapText="1"/>
    </xf>
    <xf numFmtId="0" fontId="4" fillId="0" borderId="0" pivotButton="0" quotePrefix="0" xfId="0"/>
    <xf numFmtId="9" fontId="2" fillId="0" borderId="1" applyAlignment="1" pivotButton="0" quotePrefix="0" xfId="0">
      <alignment wrapText="1"/>
    </xf>
    <xf numFmtId="1" fontId="2" fillId="0" borderId="1" applyAlignment="1" pivotButton="0" quotePrefix="0" xfId="0">
      <alignment wrapText="1"/>
    </xf>
    <xf numFmtId="165" fontId="2" fillId="0" borderId="1" applyAlignment="1" pivotButton="0" quotePrefix="0" xfId="0">
      <alignment wrapText="1"/>
    </xf>
    <xf numFmtId="0" fontId="5" fillId="0" borderId="0" pivotButton="0" quotePrefix="0" xfId="0"/>
    <xf numFmtId="0" fontId="6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7" fillId="2" borderId="3" applyAlignment="1" pivotButton="0" quotePrefix="0" xfId="0">
      <alignment vertical="center" wrapText="1"/>
    </xf>
    <xf numFmtId="0" fontId="8" fillId="0" borderId="3" applyAlignment="1" pivotButton="0" quotePrefix="0" xfId="0">
      <alignment vertical="center" wrapText="1"/>
    </xf>
    <xf numFmtId="165" fontId="8" fillId="0" borderId="3" applyAlignment="1" pivotButton="0" quotePrefix="0" xfId="0">
      <alignment vertical="center" wrapText="1"/>
    </xf>
    <xf numFmtId="1" fontId="8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9" fillId="5" borderId="0" applyAlignment="1" pivotButton="0" quotePrefix="0" xfId="0">
      <alignment vertical="center" wrapText="1"/>
    </xf>
    <xf numFmtId="0" fontId="7" fillId="3" borderId="3" applyAlignment="1" pivotButton="0" quotePrefix="0" xfId="0">
      <alignment vertical="center" wrapText="1"/>
    </xf>
    <xf numFmtId="0" fontId="8" fillId="4" borderId="3" applyAlignment="1" pivotButton="0" quotePrefix="0" xfId="0">
      <alignment vertical="center" wrapText="1"/>
    </xf>
    <xf numFmtId="0" fontId="0" fillId="0" borderId="7" applyAlignment="1" pivotButton="0" quotePrefix="0" xfId="0">
      <alignment vertical="center" wrapText="1"/>
    </xf>
    <xf numFmtId="0" fontId="0" fillId="0" borderId="8" applyAlignment="1" pivotButton="0" quotePrefix="0" xfId="0">
      <alignment vertical="center" wrapText="1"/>
    </xf>
    <xf numFmtId="9" fontId="8" fillId="0" borderId="3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8" fillId="4" borderId="4" applyAlignment="1" pivotButton="0" quotePrefix="0" xfId="0">
      <alignment vertical="center" wrapText="1"/>
    </xf>
    <xf numFmtId="164" fontId="8" fillId="4" borderId="4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CLM</author>
  </authors>
  <commentList>
    <comment ref="B7" authorId="0" shapeId="0">
      <text>
        <t>Среднее по семи осям профиля готовности: роль, мандат, решения, данные, доверие, AI / ИИ, риск назначения.</t>
      </text>
    </comment>
    <comment ref="B8" authorId="0" shapeId="0">
      <text>
        <t>RRI / риск роли руководителя считается от профиля готовности: чем ниже профиль, тем выше риск.</t>
      </text>
    </comment>
    <comment ref="B9" authorId="0" shapeId="0">
      <text>
        <t>GO / запускать — риск управляем. HOLD / пауза — требуется решение. NO-GO / остановить — риск назначения критичен.</t>
      </text>
    </comment>
  </commentList>
</comments>
</file>

<file path=xl/comments/comment2.xml><?xml version="1.0" encoding="utf-8"?>
<comments xmlns="http://schemas.openxmlformats.org/spreadsheetml/2006/main">
  <authors>
    <author>CLM</author>
  </authors>
  <commentList>
    <comment ref="B4" authorId="0" shapeId="0">
      <text>
        <t>Название клиента или проекта.</t>
      </text>
    </comment>
    <comment ref="B5" authorId="0" shapeId="0">
      <text>
        <t>Дата начала оценки. Формат: год-месяц-день.</t>
      </text>
    </comment>
    <comment ref="B6" authorId="0" shapeId="0">
      <text>
        <t>ФИО или рабочее обозначение руководителя.</t>
      </text>
    </comment>
    <comment ref="B7" authorId="0" shapeId="0">
      <text>
        <t>Текущая должность в компании. Она может не совпадать с ролью CLM.</t>
      </text>
    </comment>
    <comment ref="B8" authorId="0" shapeId="0">
      <text>
        <t>Роль из архитектуры CLM, относительно которой проводится оценка.</t>
      </text>
    </comment>
    <comment ref="B9" authorId="0" shapeId="0">
      <text>
        <t>Главный разрыв, пришедший из Блока 3. Без него Блок 4 превращается в общую HR-оценку.</t>
      </text>
    </comment>
    <comment ref="B10" authorId="0" shapeId="0">
      <text>
        <t>Какой результат должна удержать роль: решение, данные, исполнение, доверие, устойчивость, AI / ИИ.</t>
      </text>
    </comment>
    <comment ref="B11" authorId="0" shapeId="0">
      <text>
        <t>Кто отвечает за корректность оценки.</t>
      </text>
    </comment>
  </commentList>
</comments>
</file>

<file path=xl/comments/comment3.xml><?xml version="1.0" encoding="utf-8"?>
<comments xmlns="http://schemas.openxmlformats.org/spreadsheetml/2006/main">
  <authors>
    <author>CLM</author>
  </authors>
  <commentList>
    <comment ref="C3" authorId="0" shapeId="0">
      <text>
        <t>Оценка 0-3: 0 — не держит; 1 — частично; 2 — в целом держит; 3 — держит стабильно и подтверждается фактами.</t>
      </text>
    </comment>
    <comment ref="D3" authorId="0" shapeId="0">
      <text>
        <t>Вес оставлен 1, чтобы не усложнять модель. Менять только при отдельном методологическом решении.</t>
      </text>
    </comment>
    <comment ref="E3" authorId="0" shapeId="0">
      <text>
        <t>Автоматический расчет. Не заполнять вручную.</t>
      </text>
    </comment>
    <comment ref="F3" authorId="0" shapeId="0">
      <text>
        <t>Коротко укажите риск для результата, если ось слабая.</t>
      </text>
    </comment>
    <comment ref="G3" authorId="0" shapeId="0">
      <text>
        <t>Источник или факт: решение, наблюдение, интервью, протокол, данные.</t>
      </text>
    </comment>
    <comment ref="H3" authorId="0" shapeId="0">
      <text>
        <t>Автоматический статус оси. Не заполнять вручную.</t>
      </text>
    </comment>
    <comment ref="C4" authorId="0" shapeId="0">
      <text>
        <t>Не ставьте оценку без факта на листе 03_Доказательства.</t>
      </text>
    </comment>
    <comment ref="F4" authorId="0" shapeId="0">
      <text>
        <t>Опишите риск управленчески: что сломается в роли, решении, данных или доверии.</t>
      </text>
    </comment>
    <comment ref="C5" authorId="0" shapeId="0">
      <text>
        <t>Не ставьте оценку без факта на листе 03_Доказательства.</t>
      </text>
    </comment>
    <comment ref="F5" authorId="0" shapeId="0">
      <text>
        <t>Опишите риск управленчески: что сломается в роли, решении, данных или доверии.</t>
      </text>
    </comment>
    <comment ref="C6" authorId="0" shapeId="0">
      <text>
        <t>Не ставьте оценку без факта на листе 03_Доказательства.</t>
      </text>
    </comment>
    <comment ref="F6" authorId="0" shapeId="0">
      <text>
        <t>Опишите риск управленчески: что сломается в роли, решении, данных или доверии.</t>
      </text>
    </comment>
    <comment ref="C7" authorId="0" shapeId="0">
      <text>
        <t>Не ставьте оценку без факта на листе 03_Доказательства.</t>
      </text>
    </comment>
    <comment ref="F7" authorId="0" shapeId="0">
      <text>
        <t>Опишите риск управленчески: что сломается в роли, решении, данных или доверии.</t>
      </text>
    </comment>
    <comment ref="C8" authorId="0" shapeId="0">
      <text>
        <t>Не ставьте оценку без факта на листе 03_Доказательства.</t>
      </text>
    </comment>
    <comment ref="F8" authorId="0" shapeId="0">
      <text>
        <t>Опишите риск управленчески: что сломается в роли, решении, данных или доверии.</t>
      </text>
    </comment>
    <comment ref="C9" authorId="0" shapeId="0">
      <text>
        <t>Не ставьте оценку без факта на листе 03_Доказательства.</t>
      </text>
    </comment>
    <comment ref="F9" authorId="0" shapeId="0">
      <text>
        <t>Опишите риск управленчески: что сломается в роли, решении, данных или доверии.</t>
      </text>
    </comment>
    <comment ref="C10" authorId="0" shapeId="0">
      <text>
        <t>Не ставьте оценку без факта на листе 03_Доказательства.</t>
      </text>
    </comment>
    <comment ref="F10" authorId="0" shapeId="0">
      <text>
        <t>Опишите риск управленчески: что сломается в роли, решении, данных или доверии.</t>
      </text>
    </comment>
  </commentList>
</comments>
</file>

<file path=xl/comments/comment4.xml><?xml version="1.0" encoding="utf-8"?>
<comments xmlns="http://schemas.openxmlformats.org/spreadsheetml/2006/main">
  <authors>
    <author>CLM</author>
  </authors>
  <commentList>
    <comment ref="A3" authorId="0" shapeId="0">
      <text>
        <t>Выберите тип факта: решение, мандат, поведение или риск.</t>
      </text>
    </comment>
    <comment ref="B3" authorId="0" shapeId="0">
      <text>
        <t>Описание должно быть наблюдаемым: что произошло, где, с каким последствием.</t>
      </text>
    </comment>
    <comment ref="C3" authorId="0" shapeId="0">
      <text>
        <t>Источник: интервью, протокол, отчет, данные, наблюдение.</t>
      </text>
    </comment>
    <comment ref="E3" authorId="0" shapeId="0">
      <text>
        <t>Свяжите факт с осью профиля: роль, мандат, решения, данные, доверие, AI / ИИ или риск назначения.</t>
      </text>
    </comment>
    <comment ref="F3" authorId="0" shapeId="0">
      <text>
        <t>0 — слабый факт; 3 — прямой подтвержденный факт.</t>
      </text>
    </comment>
    <comment ref="G3" authorId="0" shapeId="0">
      <text>
        <t>0 — риска нет; 3 — высокий риск для результата роли.</t>
      </text>
    </comment>
    <comment ref="B4" authorId="0" shapeId="0">
      <text>
        <t>Один факт в строку. Не смешивайте несколько событий.</t>
      </text>
    </comment>
    <comment ref="C4" authorId="0" shapeId="0">
      <text>
        <t>Если источник нельзя назвать, лучше указать ограничение в комментарии.</t>
      </text>
    </comment>
    <comment ref="B5" authorId="0" shapeId="0">
      <text>
        <t>Один факт в строку. Не смешивайте несколько событий.</t>
      </text>
    </comment>
    <comment ref="C5" authorId="0" shapeId="0">
      <text>
        <t>Если источник нельзя назвать, лучше указать ограничение в комментарии.</t>
      </text>
    </comment>
    <comment ref="B6" authorId="0" shapeId="0">
      <text>
        <t>Один факт в строку. Не смешивайте несколько событий.</t>
      </text>
    </comment>
    <comment ref="C6" authorId="0" shapeId="0">
      <text>
        <t>Если источник нельзя назвать, лучше указать ограничение в комментарии.</t>
      </text>
    </comment>
    <comment ref="B7" authorId="0" shapeId="0">
      <text>
        <t>Один факт в строку. Не смешивайте несколько событий.</t>
      </text>
    </comment>
    <comment ref="C7" authorId="0" shapeId="0">
      <text>
        <t>Если источник нельзя назвать, лучше указать ограничение в комментарии.</t>
      </text>
    </comment>
    <comment ref="B8" authorId="0" shapeId="0">
      <text>
        <t>Один факт в строку. Не смешивайте несколько событий.</t>
      </text>
    </comment>
    <comment ref="C8" authorId="0" shapeId="0">
      <text>
        <t>Если источник нельзя назвать, лучше указать ограничение в комментарии.</t>
      </text>
    </comment>
    <comment ref="B9" authorId="0" shapeId="0">
      <text>
        <t>Один факт в строку. Не смешивайте несколько событий.</t>
      </text>
    </comment>
    <comment ref="C9" authorId="0" shapeId="0">
      <text>
        <t>Если источник нельзя назвать, лучше указать ограничение в комментарии.</t>
      </text>
    </comment>
    <comment ref="B10" authorId="0" shapeId="0">
      <text>
        <t>Один факт в строку. Не смешивайте несколько событий.</t>
      </text>
    </comment>
    <comment ref="C10" authorId="0" shapeId="0">
      <text>
        <t>Если источник нельзя назвать, лучше указать ограничение в комментарии.</t>
      </text>
    </comment>
    <comment ref="B11" authorId="0" shapeId="0">
      <text>
        <t>Один факт в строку. Не смешивайте несколько событий.</t>
      </text>
    </comment>
    <comment ref="C11" authorId="0" shapeId="0">
      <text>
        <t>Если источник нельзя назвать, лучше указать ограничение в комментарии.</t>
      </text>
    </comment>
    <comment ref="B12" authorId="0" shapeId="0">
      <text>
        <t>Один факт в строку. Не смешивайте несколько событий.</t>
      </text>
    </comment>
    <comment ref="C12" authorId="0" shapeId="0">
      <text>
        <t>Если источник нельзя назвать, лучше указать ограничение в комментарии.</t>
      </text>
    </comment>
    <comment ref="B13" authorId="0" shapeId="0">
      <text>
        <t>Один факт в строку. Не смешивайте несколько событий.</t>
      </text>
    </comment>
    <comment ref="C13" authorId="0" shapeId="0">
      <text>
        <t>Если источник нельзя назвать, лучше указать ограничение в комментарии.</t>
      </text>
    </comment>
    <comment ref="B14" authorId="0" shapeId="0">
      <text>
        <t>Один факт в строку. Не смешивайте несколько событий.</t>
      </text>
    </comment>
    <comment ref="C14" authorId="0" shapeId="0">
      <text>
        <t>Если источник нельзя назвать, лучше указать ограничение в комментарии.</t>
      </text>
    </comment>
    <comment ref="B15" authorId="0" shapeId="0">
      <text>
        <t>Один факт в строку. Не смешивайте несколько событий.</t>
      </text>
    </comment>
    <comment ref="C15" authorId="0" shapeId="0">
      <text>
        <t>Если источник нельзя назвать, лучше указать ограничение в комментарии.</t>
      </text>
    </comment>
  </commentList>
</comments>
</file>

<file path=xl/comments/comment5.xml><?xml version="1.0" encoding="utf-8"?>
<comments xmlns="http://schemas.openxmlformats.org/spreadsheetml/2006/main">
  <authors>
    <author>CLM</author>
  </authors>
  <commentList>
    <comment ref="B4" authorId="0" shapeId="0">
      <text>
        <t>Расчетная ячейка. Не заполнять вручную.</t>
      </text>
    </comment>
    <comment ref="B5" authorId="0" shapeId="0">
      <text>
        <t>Расчетная ячейка. Не заполнять вручную.</t>
      </text>
    </comment>
    <comment ref="B6" authorId="0" shapeId="0">
      <text>
        <t>Расчетная ячейка. Не заполнять вручную.</t>
      </text>
    </comment>
    <comment ref="B7" authorId="0" shapeId="0">
      <text>
        <t>Расчетная ячейка. Не заполнять вручную.</t>
      </text>
    </comment>
    <comment ref="B8" authorId="0" shapeId="0">
      <text>
        <t>Расчетная ячейка. Не заполнять вручную.</t>
      </text>
    </comment>
    <comment ref="B9" authorId="0" shapeId="0">
      <text>
        <t>Расчетная ячейка. Не заполнять вручную.</t>
      </text>
    </comment>
    <comment ref="B10" authorId="0" shapeId="0">
      <text>
        <t>Расчетная ячейка. Не заполнять вручную.</t>
      </text>
    </comment>
    <comment ref="B11" authorId="0" shapeId="0">
      <text>
        <t>Расчетная ячейка. Не заполнять вручную.</t>
      </text>
    </comment>
    <comment ref="B12" authorId="0" shapeId="0">
      <text>
        <t>Расчетная ячейка. Не заполнять вручную.</t>
      </text>
    </comment>
    <comment ref="B13" authorId="0" shapeId="0">
      <text>
        <t>Расчетная ячейка. Не заполнять вручную.</t>
      </text>
    </comment>
  </commentList>
</comments>
</file>

<file path=xl/comments/comment6.xml><?xml version="1.0" encoding="utf-8"?>
<comments xmlns="http://schemas.openxmlformats.org/spreadsheetml/2006/main">
  <authors>
    <author>CLM</author>
  </authors>
  <commentList>
    <comment ref="B9" authorId="0" shapeId="0">
      <text>
        <t>Выберите управленческое решение после анализа профиля и доказательств.</t>
      </text>
    </comment>
    <comment ref="B10" authorId="0" shapeId="0">
      <text>
        <t>Коротко: почему выбрано это решение и что должно измениться.</t>
      </text>
    </comment>
    <comment ref="D14" authorId="0" shapeId="0">
      <text>
        <t>Решение для этой стороны: что делать, кто владелец, какой горизонт.</t>
      </text>
    </comment>
    <comment ref="D15" authorId="0" shapeId="0">
      <text>
        <t>Решение для этой стороны: что делать, кто владелец, какой горизонт.</t>
      </text>
    </comment>
    <comment ref="D16" authorId="0" shapeId="0">
      <text>
        <t>Решение для этой стороны: что делать, кто владелец, какой горизонт.</t>
      </text>
    </comment>
    <comment ref="D17" authorId="0" shapeId="0">
      <text>
        <t>Решение для этой стороны: что делать, кто владелец, какой горизонт.</t>
      </text>
    </comment>
    <comment ref="C21" authorId="0" shapeId="0">
      <text>
        <t>Заполняется только после выбора итогового решения.</t>
      </text>
    </comment>
    <comment ref="D21" authorId="0" shapeId="0">
      <text>
        <t>Заполняется только после выбора итогового решения.</t>
      </text>
    </comment>
    <comment ref="C22" authorId="0" shapeId="0">
      <text>
        <t>Заполняется только после выбора итогового решения.</t>
      </text>
    </comment>
    <comment ref="D22" authorId="0" shapeId="0">
      <text>
        <t>Заполняется только после выбора итогового решения.</t>
      </text>
    </comment>
    <comment ref="C23" authorId="0" shapeId="0">
      <text>
        <t>Заполняется только после выбора итогового решения.</t>
      </text>
    </comment>
    <comment ref="D23" authorId="0" shapeId="0">
      <text>
        <t>Заполняется только после выбора итогового решения.</t>
      </text>
    </comment>
  </commentList>
</comments>
</file>

<file path=xl/comments/comment7.xml><?xml version="1.0" encoding="utf-8"?>
<comments xmlns="http://schemas.openxmlformats.org/spreadsheetml/2006/main">
  <authors>
    <author>CLM</author>
  </authors>
  <commentList>
    <comment ref="A1" authorId="0" shapeId="0">
      <text>
        <t>Список управленческих решений для отчета.</t>
      </text>
    </comment>
    <comment ref="D1" authorId="0" shapeId="0">
      <text>
        <t>Единая шкала 0-3.</t>
      </text>
    </comment>
    <comment ref="H1" authorId="0" shapeId="0">
      <text>
        <t>Типы доказательств из релизного DOCX Блока 4.</t>
      </text>
    </comment>
  </commentList>
</comment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38" customWidth="1" style="1" min="1" max="1"/>
    <col width="22" customWidth="1" style="1" min="2" max="2"/>
    <col width="22" customWidth="1" style="1" min="3" max="3"/>
    <col width="54" customWidth="1" style="1" min="4" max="4"/>
    <col width="10" customWidth="1" style="1" min="5" max="5"/>
    <col width="10" customWidth="1" style="1" min="6" max="6"/>
    <col width="10" customWidth="1" style="1" min="7" max="7"/>
    <col width="10" customWidth="1" style="1" min="8" max="8"/>
  </cols>
  <sheetData>
    <row r="1" ht="28" customHeight="1" s="1">
      <c r="A1" s="17" t="inlineStr">
        <is>
          <t>CLM Блок 4. Панель оценки руководителя</t>
        </is>
      </c>
    </row>
    <row r="2">
      <c r="A2" s="18" t="n"/>
      <c r="B2" s="18" t="n"/>
      <c r="C2" s="18" t="n"/>
      <c r="D2" s="18" t="n"/>
      <c r="E2" s="18" t="n"/>
      <c r="F2" s="18" t="n"/>
      <c r="G2" s="18" t="n"/>
      <c r="H2" s="18" t="n"/>
    </row>
    <row r="3">
      <c r="A3" s="19" t="inlineStr">
        <is>
          <t>Показатель</t>
        </is>
      </c>
      <c r="B3" s="19" t="inlineStr">
        <is>
          <t>Значение</t>
        </is>
      </c>
      <c r="C3" s="19" t="inlineStr">
        <is>
          <t>Норма</t>
        </is>
      </c>
      <c r="D3" s="19" t="inlineStr">
        <is>
          <t>Комментарий</t>
        </is>
      </c>
      <c r="E3" s="18" t="n"/>
      <c r="F3" s="18" t="n"/>
      <c r="G3" s="18" t="n"/>
      <c r="H3" s="18" t="n"/>
    </row>
    <row r="4">
      <c r="A4" s="20" t="inlineStr">
        <is>
          <t>Клиент</t>
        </is>
      </c>
      <c r="B4" s="20">
        <f>'01_Ввод'!B4</f>
        <v/>
      </c>
      <c r="C4" s="20" t="str"/>
      <c r="D4" s="20" t="str"/>
      <c r="E4" s="18" t="n"/>
      <c r="F4" s="18" t="n"/>
      <c r="G4" s="18" t="n"/>
      <c r="H4" s="18" t="n"/>
    </row>
    <row r="5">
      <c r="A5" s="20" t="inlineStr">
        <is>
          <t>Руководитель</t>
        </is>
      </c>
      <c r="B5" s="20">
        <f>'01_Ввод'!B6</f>
        <v/>
      </c>
      <c r="C5" s="20" t="str"/>
      <c r="D5" s="20" t="str"/>
      <c r="E5" s="18" t="n"/>
      <c r="F5" s="18" t="n"/>
      <c r="G5" s="18" t="n"/>
      <c r="H5" s="18" t="n"/>
    </row>
    <row r="6">
      <c r="A6" s="20" t="inlineStr">
        <is>
          <t>Роль CLM</t>
        </is>
      </c>
      <c r="B6" s="20">
        <f>'01_Ввод'!B8</f>
        <v/>
      </c>
      <c r="C6" s="20" t="str"/>
      <c r="D6" s="20" t="str"/>
      <c r="E6" s="18" t="n"/>
      <c r="F6" s="18" t="n"/>
      <c r="G6" s="18" t="n"/>
      <c r="H6" s="18" t="n"/>
    </row>
    <row r="7">
      <c r="A7" s="20" t="inlineStr">
        <is>
          <t>Профиль готовности</t>
        </is>
      </c>
      <c r="B7" s="21">
        <f>'04_Расчет'!B5</f>
        <v/>
      </c>
      <c r="C7" s="20" t="inlineStr">
        <is>
          <t>2.3+</t>
        </is>
      </c>
      <c r="D7" s="20" t="str"/>
      <c r="E7" s="18" t="n"/>
      <c r="F7" s="18" t="n"/>
      <c r="G7" s="18" t="n"/>
      <c r="H7" s="18" t="n"/>
    </row>
    <row r="8">
      <c r="A8" s="20" t="inlineStr">
        <is>
          <t>RRI / риск роли руководителя</t>
        </is>
      </c>
      <c r="B8" s="22">
        <f>'04_Расчет'!B6</f>
        <v/>
      </c>
      <c r="C8" s="20" t="inlineStr">
        <is>
          <t>0-25</t>
        </is>
      </c>
      <c r="D8" s="20" t="str"/>
      <c r="E8" s="18" t="n"/>
      <c r="F8" s="18" t="n"/>
      <c r="G8" s="18" t="n"/>
      <c r="H8" s="18" t="n"/>
    </row>
    <row r="9">
      <c r="A9" s="20" t="inlineStr">
        <is>
          <t>Статус</t>
        </is>
      </c>
      <c r="B9" s="20">
        <f>'04_Расчет'!B7</f>
        <v/>
      </c>
      <c r="C9" s="20" t="inlineStr">
        <is>
          <t>GO / HOLD / NO-GO</t>
        </is>
      </c>
      <c r="D9" s="20" t="str"/>
      <c r="E9" s="18" t="n"/>
      <c r="F9" s="18" t="n"/>
      <c r="G9" s="18" t="n"/>
      <c r="H9" s="18" t="n"/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</row>
    <row r="11">
      <c r="A11" s="23" t="inlineStr">
        <is>
          <t>Контроль заполнения</t>
        </is>
      </c>
      <c r="E11" s="18" t="n"/>
      <c r="F11" s="24" t="inlineStr">
        <is>
          <t>Что проверяет Блок 4</t>
        </is>
      </c>
    </row>
    <row r="12">
      <c r="A12" s="25" t="inlineStr">
        <is>
          <t>Слой</t>
        </is>
      </c>
      <c r="B12" s="25" t="inlineStr">
        <is>
          <t>Заполненность / число</t>
        </is>
      </c>
      <c r="C12" s="25" t="inlineStr">
        <is>
          <t>Норма</t>
        </is>
      </c>
      <c r="D12" s="25" t="inlineStr">
        <is>
          <t>Комментарий</t>
        </is>
      </c>
      <c r="E12" s="18" t="n"/>
      <c r="F12" s="26" t="inlineStr">
        <is>
          <t>Блок 4 не оценивает человека вообще. Он проверяет, может ли конкретный руководитель держать конкретную роль, мандат и системную задачу.</t>
        </is>
      </c>
      <c r="G12" s="34" t="n"/>
      <c r="H12" s="35" t="n"/>
    </row>
    <row r="13">
      <c r="A13" s="20" t="inlineStr">
        <is>
          <t>Профиль</t>
        </is>
      </c>
      <c r="B13" s="29">
        <f>'04_Расчет'!B4</f>
        <v/>
      </c>
      <c r="C13" s="20" t="inlineStr">
        <is>
          <t>100%</t>
        </is>
      </c>
      <c r="D13" s="20" t="str"/>
      <c r="E13" s="18" t="n"/>
      <c r="F13" s="26" t="inlineStr">
        <is>
          <t>Результат Блока 4 — управленческое решение: развить, усилить, перераспределить, заменить или наблюдать.</t>
        </is>
      </c>
      <c r="G13" s="34" t="n"/>
      <c r="H13" s="35" t="n"/>
    </row>
    <row r="14">
      <c r="A14" s="20" t="inlineStr">
        <is>
          <t>Доказательства</t>
        </is>
      </c>
      <c r="B14" s="20">
        <f>'04_Расчет'!B9</f>
        <v/>
      </c>
      <c r="C14" s="20" t="inlineStr">
        <is>
          <t>4+</t>
        </is>
      </c>
      <c r="D14" s="20" t="str"/>
      <c r="E14" s="18" t="n"/>
      <c r="F14" s="26" t="inlineStr">
        <is>
          <t>Без доказательств оценка не считается надежной. Лист 03 обязателен для фактов.</t>
        </is>
      </c>
      <c r="G14" s="34" t="n"/>
      <c r="H14" s="35" t="n"/>
    </row>
    <row r="15">
      <c r="A15" s="20" t="inlineStr">
        <is>
          <t>Критичные оси</t>
        </is>
      </c>
      <c r="B15" s="20">
        <f>'04_Расчет'!B8</f>
        <v/>
      </c>
      <c r="C15" s="20" t="inlineStr">
        <is>
          <t>0</t>
        </is>
      </c>
      <c r="D15" s="20" t="str"/>
      <c r="E15" s="18" t="n"/>
      <c r="F15" s="18" t="n"/>
      <c r="G15" s="18" t="n"/>
      <c r="H15" s="18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</row>
    <row r="17" ht="24" customHeight="1" s="1">
      <c r="A17" s="30" t="inlineStr">
        <is>
          <t>Как пользоваться</t>
        </is>
      </c>
    </row>
    <row r="18" ht="28" customHeight="1" s="1">
      <c r="A18" s="20" t="inlineStr">
        <is>
          <t>1. Заполните 01_Ввод: руководитель, роль CLM, разрыв из Блока 3 и системную задачу.</t>
        </is>
      </c>
      <c r="B18" s="20" t="str"/>
      <c r="C18" s="20" t="str"/>
      <c r="D18" s="20" t="str"/>
      <c r="E18" s="20" t="str"/>
      <c r="F18" s="20" t="str"/>
      <c r="G18" s="20" t="str"/>
      <c r="H18" s="20" t="str"/>
    </row>
    <row r="19" ht="28" customHeight="1" s="1">
      <c r="A19" s="20" t="inlineStr">
        <is>
          <t>2. На 02_Профиль поставьте оценки 0-3 по семи осям готовности.</t>
        </is>
      </c>
      <c r="B19" s="20" t="str"/>
      <c r="C19" s="20" t="str"/>
      <c r="D19" s="20" t="str"/>
      <c r="E19" s="20" t="str"/>
      <c r="F19" s="20" t="str"/>
      <c r="G19" s="20" t="str"/>
      <c r="H19" s="20" t="str"/>
    </row>
    <row r="20" ht="28" customHeight="1" s="1">
      <c r="A20" s="20" t="inlineStr">
        <is>
          <t>3. На 03_Доказательства внесите факты. Без фактов оценка не считается надежной.</t>
        </is>
      </c>
      <c r="B20" s="20" t="str"/>
      <c r="C20" s="20" t="str"/>
      <c r="D20" s="20" t="str"/>
      <c r="E20" s="20" t="str"/>
      <c r="F20" s="20" t="str"/>
      <c r="G20" s="20" t="str"/>
      <c r="H20" s="20" t="str"/>
    </row>
    <row r="21" ht="28" customHeight="1" s="1">
      <c r="A21" s="20" t="inlineStr">
        <is>
          <t>4. 04_Расчет не заполняется вручную.</t>
        </is>
      </c>
      <c r="B21" s="20" t="str"/>
      <c r="C21" s="20" t="str"/>
      <c r="D21" s="20" t="str"/>
      <c r="E21" s="20" t="str"/>
      <c r="F21" s="20" t="str"/>
      <c r="G21" s="20" t="str"/>
      <c r="H21" s="20" t="str"/>
    </row>
    <row r="22" ht="28" customHeight="1" s="1">
      <c r="A22" s="20" t="inlineStr">
        <is>
          <t>5. На 05_Отчет выберите решение: развить, усилить, перераспределить, заменить или наблюдать.</t>
        </is>
      </c>
      <c r="B22" s="20" t="str"/>
      <c r="C22" s="20" t="str"/>
      <c r="D22" s="20" t="str"/>
      <c r="E22" s="20" t="str"/>
      <c r="F22" s="20" t="str"/>
      <c r="G22" s="20" t="str"/>
      <c r="H22" s="20" t="str"/>
    </row>
  </sheetData>
  <mergeCells count="7">
    <mergeCell ref="F14:H14"/>
    <mergeCell ref="A11:D11"/>
    <mergeCell ref="F13:H13"/>
    <mergeCell ref="F12:H12"/>
    <mergeCell ref="A1:H1"/>
    <mergeCell ref="F11:H11"/>
    <mergeCell ref="A17:H17"/>
  </mergeCells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4" customWidth="1" style="1" min="1" max="1"/>
    <col width="86" customWidth="1" style="1" min="2" max="2"/>
    <col width="12" customWidth="1" style="1" min="3" max="3"/>
    <col width="12" customWidth="1" style="1" min="4" max="4"/>
    <col width="12" customWidth="1" style="1" min="5" max="5"/>
    <col width="12" customWidth="1" style="1" min="6" max="6"/>
    <col width="12" customWidth="1" style="1" min="7" max="7"/>
    <col width="12" customWidth="1" style="1" min="8" max="8"/>
  </cols>
  <sheetData>
    <row r="1">
      <c r="A1" s="17" t="inlineStr">
        <is>
          <t>CLM Блок 4. Ввод оценки руководителя</t>
        </is>
      </c>
    </row>
    <row r="2">
      <c r="A2" s="18" t="n"/>
      <c r="B2" s="18" t="n"/>
      <c r="C2" s="18" t="n"/>
      <c r="D2" s="18" t="n"/>
      <c r="E2" s="18" t="n"/>
      <c r="F2" s="18" t="n"/>
      <c r="G2" s="18" t="n"/>
      <c r="H2" s="18" t="n"/>
    </row>
    <row r="3">
      <c r="A3" s="19" t="inlineStr">
        <is>
          <t>Поле</t>
        </is>
      </c>
      <c r="B3" s="19" t="inlineStr">
        <is>
          <t>Значение</t>
        </is>
      </c>
      <c r="C3" s="18" t="n"/>
      <c r="D3" s="18" t="n"/>
      <c r="E3" s="18" t="n"/>
      <c r="F3" s="18" t="n"/>
      <c r="G3" s="18" t="n"/>
      <c r="H3" s="18" t="n"/>
    </row>
    <row r="4">
      <c r="A4" s="20" t="inlineStr">
        <is>
          <t>Клиент</t>
        </is>
      </c>
      <c r="B4" s="31" t="str"/>
      <c r="C4" s="18" t="n"/>
      <c r="D4" s="18" t="n"/>
      <c r="E4" s="18" t="n"/>
      <c r="F4" s="18" t="n"/>
      <c r="G4" s="18" t="n"/>
      <c r="H4" s="18" t="n"/>
    </row>
    <row r="5">
      <c r="A5" s="20" t="inlineStr">
        <is>
          <t>Дата оценки</t>
        </is>
      </c>
      <c r="B5" s="32" t="str"/>
      <c r="C5" s="18" t="n"/>
      <c r="D5" s="18" t="n"/>
      <c r="E5" s="18" t="n"/>
      <c r="F5" s="18" t="n"/>
      <c r="G5" s="18" t="n"/>
      <c r="H5" s="18" t="n"/>
    </row>
    <row r="6">
      <c r="A6" s="20" t="inlineStr">
        <is>
          <t>Руководитель</t>
        </is>
      </c>
      <c r="B6" s="31" t="str"/>
      <c r="C6" s="18" t="n"/>
      <c r="D6" s="18" t="n"/>
      <c r="E6" s="18" t="n"/>
      <c r="F6" s="18" t="n"/>
      <c r="G6" s="18" t="n"/>
      <c r="H6" s="18" t="n"/>
    </row>
    <row r="7">
      <c r="A7" s="20" t="inlineStr">
        <is>
          <t>Текущая должность</t>
        </is>
      </c>
      <c r="B7" s="31" t="str"/>
      <c r="C7" s="18" t="n"/>
      <c r="D7" s="18" t="n"/>
      <c r="E7" s="18" t="n"/>
      <c r="F7" s="18" t="n"/>
      <c r="G7" s="18" t="n"/>
      <c r="H7" s="18" t="n"/>
    </row>
    <row r="8">
      <c r="A8" s="20" t="inlineStr">
        <is>
          <t>Оцениваемая роль CLM</t>
        </is>
      </c>
      <c r="B8" s="31" t="str"/>
      <c r="C8" s="18" t="n"/>
      <c r="D8" s="18" t="n"/>
      <c r="E8" s="18" t="n"/>
      <c r="F8" s="18" t="n"/>
      <c r="G8" s="18" t="n"/>
      <c r="H8" s="18" t="n"/>
    </row>
    <row r="9">
      <c r="A9" s="20" t="inlineStr">
        <is>
          <t>Разрыв из Блока 3</t>
        </is>
      </c>
      <c r="B9" s="31" t="str"/>
      <c r="C9" s="18" t="n"/>
      <c r="D9" s="18" t="n"/>
      <c r="E9" s="18" t="n"/>
      <c r="F9" s="18" t="n"/>
      <c r="G9" s="18" t="n"/>
      <c r="H9" s="18" t="n"/>
    </row>
    <row r="10">
      <c r="A10" s="20" t="inlineStr">
        <is>
          <t>Системная задача роли</t>
        </is>
      </c>
      <c r="B10" s="31" t="str"/>
      <c r="C10" s="18" t="n"/>
      <c r="D10" s="18" t="n"/>
      <c r="E10" s="18" t="n"/>
      <c r="F10" s="18" t="n"/>
      <c r="G10" s="18" t="n"/>
      <c r="H10" s="18" t="n"/>
    </row>
    <row r="11">
      <c r="A11" s="20" t="inlineStr">
        <is>
          <t>Ответственный за оценку</t>
        </is>
      </c>
      <c r="B11" s="31" t="str"/>
      <c r="C11" s="18" t="n"/>
      <c r="D11" s="18" t="n"/>
      <c r="E11" s="18" t="n"/>
      <c r="F11" s="18" t="n"/>
      <c r="G11" s="18" t="n"/>
      <c r="H11" s="18" t="n"/>
    </row>
    <row r="12">
      <c r="A12" s="20" t="inlineStr">
        <is>
          <t>Комментарий</t>
        </is>
      </c>
      <c r="B12" s="31" t="str"/>
      <c r="C12" s="18" t="n"/>
      <c r="D12" s="18" t="n"/>
      <c r="E12" s="18" t="n"/>
      <c r="F12" s="18" t="n"/>
      <c r="G12" s="18" t="n"/>
      <c r="H12" s="18" t="n"/>
    </row>
    <row r="13">
      <c r="A13" s="18" t="n"/>
      <c r="B13" s="18" t="n"/>
      <c r="C13" s="18" t="n"/>
      <c r="D13" s="18" t="n"/>
      <c r="E13" s="18" t="n"/>
      <c r="F13" s="18" t="n"/>
      <c r="G13" s="18" t="n"/>
      <c r="H13" s="18" t="n"/>
    </row>
    <row r="14">
      <c r="A14" s="23" t="inlineStr">
        <is>
          <t>Правило заполнения</t>
        </is>
      </c>
      <c r="C14" s="18" t="n"/>
      <c r="D14" s="24" t="inlineStr">
        <is>
          <t>Подсказка</t>
        </is>
      </c>
    </row>
    <row r="15" ht="34" customHeight="1" s="1">
      <c r="A15" s="20" t="inlineStr">
        <is>
          <t>1</t>
        </is>
      </c>
      <c r="B15" s="20" t="inlineStr">
        <is>
          <t>Оценивается не человек вообще, а соответствие руководителя конкретной роли и мандату.</t>
        </is>
      </c>
      <c r="C15" s="18" t="n"/>
      <c r="D15" s="26" t="inlineStr">
        <is>
          <t>Оценивайте руководителя только относительно роли и мандата. Не пишите общие характеристики: сильный, слабый, токсичный, хороший.</t>
        </is>
      </c>
      <c r="E15" s="34" t="n"/>
      <c r="F15" s="34" t="n"/>
      <c r="G15" s="34" t="n"/>
      <c r="H15" s="35" t="n"/>
    </row>
    <row r="16" ht="34" customHeight="1" s="1">
      <c r="A16" s="20" t="inlineStr">
        <is>
          <t>2</t>
        </is>
      </c>
      <c r="B16" s="20" t="inlineStr">
        <is>
          <t>Каждая оценка 0-3 должна иметь основание на листе 03_Доказательства.</t>
        </is>
      </c>
      <c r="C16" s="18" t="n"/>
      <c r="D16" s="26" t="inlineStr">
        <is>
          <t>Если разрыв из Блока 3 не указан, оценка не имеет основания.</t>
        </is>
      </c>
      <c r="E16" s="34" t="n"/>
      <c r="F16" s="34" t="n"/>
      <c r="G16" s="34" t="n"/>
      <c r="H16" s="35" t="n"/>
    </row>
    <row r="17" ht="34" customHeight="1" s="1">
      <c r="A17" s="20" t="inlineStr">
        <is>
          <t>3</t>
        </is>
      </c>
      <c r="B17" s="20" t="inlineStr">
        <is>
          <t>Если факта нет, лучше оставить поле пустым, чем имитировать точность.</t>
        </is>
      </c>
      <c r="C17" s="18" t="n"/>
      <c r="D17" s="18" t="n"/>
      <c r="E17" s="18" t="n"/>
      <c r="F17" s="18" t="n"/>
      <c r="G17" s="18" t="n"/>
      <c r="H17" s="18" t="n"/>
    </row>
    <row r="18" ht="34" customHeight="1" s="1">
      <c r="A18" s="20" t="inlineStr">
        <is>
          <t>4</t>
        </is>
      </c>
      <c r="B18" s="20" t="inlineStr">
        <is>
          <t>Итоговое решение выбирается на листе 05_Отчет после расчёта профиля.</t>
        </is>
      </c>
      <c r="C18" s="18" t="n"/>
      <c r="D18" s="18" t="n"/>
      <c r="E18" s="18" t="n"/>
      <c r="F18" s="18" t="n"/>
      <c r="G18" s="18" t="n"/>
      <c r="H18" s="18" t="n"/>
    </row>
  </sheetData>
  <mergeCells count="5">
    <mergeCell ref="D15:H15"/>
    <mergeCell ref="D16:H16"/>
    <mergeCell ref="A14:B14"/>
    <mergeCell ref="D14:H14"/>
    <mergeCell ref="A1:H1"/>
  </mergeCells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style="1" min="1" max="1"/>
    <col width="58" customWidth="1" style="1" min="2" max="2"/>
    <col width="14" customWidth="1" style="1" min="3" max="3"/>
    <col width="9" customWidth="1" style="1" min="4" max="4"/>
    <col width="16" customWidth="1" style="1" min="5" max="5"/>
    <col width="36" customWidth="1" style="1" min="6" max="6"/>
    <col width="44" customWidth="1" style="1" min="7" max="7"/>
    <col width="16" customWidth="1" style="1" min="8" max="8"/>
  </cols>
  <sheetData>
    <row r="1">
      <c r="A1" s="17" t="inlineStr">
        <is>
          <t>Профиль готовности руководителя</t>
        </is>
      </c>
    </row>
    <row r="2">
      <c r="A2" s="18" t="n"/>
      <c r="B2" s="18" t="n"/>
      <c r="C2" s="18" t="n"/>
      <c r="D2" s="18" t="n"/>
      <c r="E2" s="18" t="n"/>
      <c r="F2" s="18" t="n"/>
      <c r="G2" s="18" t="n"/>
      <c r="H2" s="18" t="n"/>
    </row>
    <row r="3">
      <c r="A3" s="19" t="inlineStr">
        <is>
          <t>Ось</t>
        </is>
      </c>
      <c r="B3" s="19" t="inlineStr">
        <is>
          <t>Проверочный вопрос</t>
        </is>
      </c>
      <c r="C3" s="19" t="inlineStr">
        <is>
          <t>Оценка, 0-3</t>
        </is>
      </c>
      <c r="D3" s="19" t="inlineStr">
        <is>
          <t>Вес</t>
        </is>
      </c>
      <c r="E3" s="19" t="inlineStr">
        <is>
          <t>Взвешенный балл</t>
        </is>
      </c>
      <c r="F3" s="19" t="inlineStr">
        <is>
          <t>Ключевой риск</t>
        </is>
      </c>
      <c r="G3" s="19" t="inlineStr">
        <is>
          <t>Комментарий / источник</t>
        </is>
      </c>
      <c r="H3" s="19" t="inlineStr">
        <is>
          <t>Статус</t>
        </is>
      </c>
    </row>
    <row r="4" ht="28" customHeight="1" s="1">
      <c r="A4" s="20" t="inlineStr">
        <is>
          <t>Роль</t>
        </is>
      </c>
      <c r="B4" s="20" t="inlineStr">
        <is>
          <t>Понимает ли руководитель роль и границы ответственности?</t>
        </is>
      </c>
      <c r="C4" s="31" t="str"/>
      <c r="D4" s="20" t="n">
        <v>1</v>
      </c>
      <c r="E4" s="20">
        <f>IF(C4="","",C4*D4)</f>
        <v/>
      </c>
      <c r="F4" s="31" t="str"/>
      <c r="G4" s="31" t="str"/>
      <c r="H4" s="20">
        <f>IF(C4="","Не заполнено",IF(C4&lt;1.5,"Критично",IF(C4&lt;2.3,"Разрыв","ОК")))</f>
        <v/>
      </c>
    </row>
    <row r="5" ht="28" customHeight="1" s="1">
      <c r="A5" s="20" t="inlineStr">
        <is>
          <t>Мандат</t>
        </is>
      </c>
      <c r="B5" s="20" t="inlineStr">
        <is>
          <t>Есть ли право действовать без постоянного ручного согласования?</t>
        </is>
      </c>
      <c r="C5" s="31" t="str"/>
      <c r="D5" s="20" t="n">
        <v>1</v>
      </c>
      <c r="E5" s="20">
        <f>IF(C5="","",C5*D5)</f>
        <v/>
      </c>
      <c r="F5" s="31" t="str"/>
      <c r="G5" s="31" t="str"/>
      <c r="H5" s="20">
        <f>IF(C5="","Не заполнено",IF(C5&lt;1.5,"Критично",IF(C5&lt;2.3,"Разрыв","ОК")))</f>
        <v/>
      </c>
    </row>
    <row r="6" ht="28" customHeight="1" s="1">
      <c r="A6" s="20" t="inlineStr">
        <is>
          <t>Решения</t>
        </is>
      </c>
      <c r="B6" s="20" t="inlineStr">
        <is>
          <t>Принимает ли решения по роли, а не возвращает их наверх?</t>
        </is>
      </c>
      <c r="C6" s="31" t="str"/>
      <c r="D6" s="20" t="n">
        <v>1</v>
      </c>
      <c r="E6" s="20">
        <f>IF(C6="","",C6*D6)</f>
        <v/>
      </c>
      <c r="F6" s="31" t="str"/>
      <c r="G6" s="31" t="str"/>
      <c r="H6" s="20">
        <f>IF(C6="","Не заполнено",IF(C6&lt;1.5,"Критично",IF(C6&lt;2.3,"Разрыв","ОК")))</f>
        <v/>
      </c>
    </row>
    <row r="7" ht="28" customHeight="1" s="1">
      <c r="A7" s="20" t="inlineStr">
        <is>
          <t>Данные</t>
        </is>
      </c>
      <c r="B7" s="20" t="inlineStr">
        <is>
          <t>Опирается ли на факты и удерживает единую версию данных?</t>
        </is>
      </c>
      <c r="C7" s="31" t="str"/>
      <c r="D7" s="20" t="n">
        <v>1</v>
      </c>
      <c r="E7" s="20">
        <f>IF(C7="","",C7*D7)</f>
        <v/>
      </c>
      <c r="F7" s="31" t="str"/>
      <c r="G7" s="31" t="str"/>
      <c r="H7" s="20">
        <f>IF(C7="","Не заполнено",IF(C7&lt;1.5,"Критично",IF(C7&lt;2.3,"Разрыв","ОК")))</f>
        <v/>
      </c>
    </row>
    <row r="8" ht="28" customHeight="1" s="1">
      <c r="A8" s="20" t="inlineStr">
        <is>
          <t>Доверие</t>
        </is>
      </c>
      <c r="B8" s="20" t="inlineStr">
        <is>
          <t>Можно ли передать ответственность без лишнего контроля?</t>
        </is>
      </c>
      <c r="C8" s="31" t="str"/>
      <c r="D8" s="20" t="n">
        <v>1</v>
      </c>
      <c r="E8" s="20">
        <f>IF(C8="","",C8*D8)</f>
        <v/>
      </c>
      <c r="F8" s="31" t="str"/>
      <c r="G8" s="31" t="str"/>
      <c r="H8" s="20">
        <f>IF(C8="","Не заполнено",IF(C8&lt;1.5,"Критично",IF(C8&lt;2.3,"Разрыв","ОК")))</f>
        <v/>
      </c>
    </row>
    <row r="9" ht="28" customHeight="1" s="1">
      <c r="A9" s="20" t="inlineStr">
        <is>
          <t>AI / ИИ</t>
        </is>
      </c>
      <c r="B9" s="20" t="inlineStr">
        <is>
          <t>Готов ли работать с AI / ИИ как с управленческим контуром, а не модой?</t>
        </is>
      </c>
      <c r="C9" s="31" t="str"/>
      <c r="D9" s="20" t="n">
        <v>1</v>
      </c>
      <c r="E9" s="20">
        <f>IF(C9="","",C9*D9)</f>
        <v/>
      </c>
      <c r="F9" s="31" t="str"/>
      <c r="G9" s="31" t="str"/>
      <c r="H9" s="20">
        <f>IF(C9="","Не заполнено",IF(C9&lt;1.5,"Критично",IF(C9&lt;2.3,"Разрыв","ОК")))</f>
        <v/>
      </c>
    </row>
    <row r="10" ht="28" customHeight="1" s="1">
      <c r="A10" s="20" t="inlineStr">
        <is>
          <t>Риск назначения</t>
        </is>
      </c>
      <c r="B10" s="20" t="inlineStr">
        <is>
          <t>Какой риск возникает, если оставить текущую конфигурацию?</t>
        </is>
      </c>
      <c r="C10" s="31" t="str"/>
      <c r="D10" s="20" t="n">
        <v>1</v>
      </c>
      <c r="E10" s="20">
        <f>IF(C10="","",C10*D10)</f>
        <v/>
      </c>
      <c r="F10" s="31" t="str"/>
      <c r="G10" s="31" t="str"/>
      <c r="H10" s="20">
        <f>IF(C10="","Не заполнено",IF(C10&lt;1.5,"Критично",IF(C10&lt;2.3,"Разрыв","ОК")))</f>
        <v/>
      </c>
    </row>
  </sheetData>
  <mergeCells count="1">
    <mergeCell ref="A1:H1"/>
  </mergeCells>
  <dataValidations count="1">
    <dataValidation sqref="C4:C10" showDropDown="0" showInputMessage="0" showErrorMessage="0" allowBlank="0" type="whole" operator="between">
      <formula1>0</formula1>
      <formula2>3</formula2>
    </dataValidation>
  </dataValidations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style="1" min="1" max="1"/>
    <col width="46" customWidth="1" style="1" min="2" max="2"/>
    <col width="28" customWidth="1" style="1" min="3" max="3"/>
    <col width="14" customWidth="1" style="1" min="4" max="4"/>
    <col width="22" customWidth="1" style="1" min="5" max="5"/>
    <col width="14" customWidth="1" style="1" min="6" max="6"/>
    <col width="12" customWidth="1" style="1" min="7" max="7"/>
    <col width="38" customWidth="1" style="1" min="8" max="8"/>
  </cols>
  <sheetData>
    <row r="1">
      <c r="A1" s="17" t="inlineStr">
        <is>
          <t>Доказательства оценки</t>
        </is>
      </c>
    </row>
    <row r="2">
      <c r="A2" s="18" t="n"/>
      <c r="B2" s="18" t="n"/>
      <c r="C2" s="18" t="n"/>
      <c r="D2" s="18" t="n"/>
      <c r="E2" s="18" t="n"/>
      <c r="F2" s="18" t="n"/>
      <c r="G2" s="18" t="n"/>
      <c r="H2" s="18" t="n"/>
    </row>
    <row r="3">
      <c r="A3" s="19" t="inlineStr">
        <is>
          <t>Тип доказательства</t>
        </is>
      </c>
      <c r="B3" s="19" t="inlineStr">
        <is>
          <t>Описание факта</t>
        </is>
      </c>
      <c r="C3" s="19" t="inlineStr">
        <is>
          <t>Источник</t>
        </is>
      </c>
      <c r="D3" s="19" t="inlineStr">
        <is>
          <t>Дата</t>
        </is>
      </c>
      <c r="E3" s="19" t="inlineStr">
        <is>
          <t>Связь с осью</t>
        </is>
      </c>
      <c r="F3" s="19" t="inlineStr">
        <is>
          <t>Сила факта, 0-3</t>
        </is>
      </c>
      <c r="G3" s="19" t="inlineStr">
        <is>
          <t>Риск, 0-3</t>
        </is>
      </c>
      <c r="H3" s="19" t="inlineStr">
        <is>
          <t>Комментарий</t>
        </is>
      </c>
    </row>
    <row r="4" ht="28" customHeight="1" s="1">
      <c r="A4" s="31" t="str"/>
      <c r="B4" s="31" t="str"/>
      <c r="C4" s="31" t="str"/>
      <c r="D4" s="31" t="str"/>
      <c r="E4" s="31" t="str"/>
      <c r="F4" s="31" t="str"/>
      <c r="G4" s="31" t="str"/>
      <c r="H4" s="31" t="str"/>
    </row>
    <row r="5" ht="28" customHeight="1" s="1">
      <c r="A5" s="31" t="str"/>
      <c r="B5" s="31" t="str"/>
      <c r="C5" s="31" t="str"/>
      <c r="D5" s="31" t="str"/>
      <c r="E5" s="31" t="str"/>
      <c r="F5" s="31" t="str"/>
      <c r="G5" s="31" t="str"/>
      <c r="H5" s="31" t="str"/>
    </row>
    <row r="6" ht="28" customHeight="1" s="1">
      <c r="A6" s="31" t="str"/>
      <c r="B6" s="31" t="str"/>
      <c r="C6" s="31" t="str"/>
      <c r="D6" s="31" t="str"/>
      <c r="E6" s="31" t="str"/>
      <c r="F6" s="31" t="str"/>
      <c r="G6" s="31" t="str"/>
      <c r="H6" s="31" t="str"/>
    </row>
    <row r="7" ht="28" customHeight="1" s="1">
      <c r="A7" s="31" t="str"/>
      <c r="B7" s="31" t="str"/>
      <c r="C7" s="31" t="str"/>
      <c r="D7" s="31" t="str"/>
      <c r="E7" s="31" t="str"/>
      <c r="F7" s="31" t="str"/>
      <c r="G7" s="31" t="str"/>
      <c r="H7" s="31" t="str"/>
    </row>
    <row r="8" ht="28" customHeight="1" s="1">
      <c r="A8" s="31" t="str"/>
      <c r="B8" s="31" t="str"/>
      <c r="C8" s="31" t="str"/>
      <c r="D8" s="31" t="str"/>
      <c r="E8" s="31" t="str"/>
      <c r="F8" s="31" t="str"/>
      <c r="G8" s="31" t="str"/>
      <c r="H8" s="31" t="str"/>
    </row>
    <row r="9" ht="28" customHeight="1" s="1">
      <c r="A9" s="31" t="str"/>
      <c r="B9" s="31" t="str"/>
      <c r="C9" s="31" t="str"/>
      <c r="D9" s="31" t="str"/>
      <c r="E9" s="31" t="str"/>
      <c r="F9" s="31" t="str"/>
      <c r="G9" s="31" t="str"/>
      <c r="H9" s="31" t="str"/>
    </row>
    <row r="10" ht="28" customHeight="1" s="1">
      <c r="A10" s="31" t="str"/>
      <c r="B10" s="31" t="str"/>
      <c r="C10" s="31" t="str"/>
      <c r="D10" s="31" t="str"/>
      <c r="E10" s="31" t="str"/>
      <c r="F10" s="31" t="str"/>
      <c r="G10" s="31" t="str"/>
      <c r="H10" s="31" t="str"/>
    </row>
    <row r="11" ht="28" customHeight="1" s="1">
      <c r="A11" s="31" t="str"/>
      <c r="B11" s="31" t="str"/>
      <c r="C11" s="31" t="str"/>
      <c r="D11" s="31" t="str"/>
      <c r="E11" s="31" t="str"/>
      <c r="F11" s="31" t="str"/>
      <c r="G11" s="31" t="str"/>
      <c r="H11" s="31" t="str"/>
    </row>
    <row r="12" ht="28" customHeight="1" s="1">
      <c r="A12" s="31" t="str"/>
      <c r="B12" s="31" t="str"/>
      <c r="C12" s="31" t="str"/>
      <c r="D12" s="31" t="str"/>
      <c r="E12" s="31" t="str"/>
      <c r="F12" s="31" t="str"/>
      <c r="G12" s="31" t="str"/>
      <c r="H12" s="31" t="str"/>
    </row>
    <row r="13" ht="28" customHeight="1" s="1">
      <c r="A13" s="31" t="str"/>
      <c r="B13" s="31" t="str"/>
      <c r="C13" s="31" t="str"/>
      <c r="D13" s="31" t="str"/>
      <c r="E13" s="31" t="str"/>
      <c r="F13" s="31" t="str"/>
      <c r="G13" s="31" t="str"/>
      <c r="H13" s="31" t="str"/>
    </row>
    <row r="14" ht="28" customHeight="1" s="1">
      <c r="A14" s="31" t="str"/>
      <c r="B14" s="31" t="str"/>
      <c r="C14" s="31" t="str"/>
      <c r="D14" s="31" t="str"/>
      <c r="E14" s="31" t="str"/>
      <c r="F14" s="31" t="str"/>
      <c r="G14" s="31" t="str"/>
      <c r="H14" s="31" t="str"/>
    </row>
    <row r="15" ht="28" customHeight="1" s="1">
      <c r="A15" s="31" t="str"/>
      <c r="B15" s="31" t="str"/>
      <c r="C15" s="31" t="str"/>
      <c r="D15" s="31" t="str"/>
      <c r="E15" s="31" t="str"/>
      <c r="F15" s="31" t="str"/>
      <c r="G15" s="31" t="str"/>
      <c r="H15" s="31" t="str"/>
    </row>
  </sheetData>
  <mergeCells count="1">
    <mergeCell ref="A1:H1"/>
  </mergeCells>
  <dataValidations count="3">
    <dataValidation sqref="A4:A15" showDropDown="0" showInputMessage="0" showErrorMessage="0" allowBlank="0" type="list">
      <formula1>'90_Справочник'!$H$2:$H$5</formula1>
    </dataValidation>
    <dataValidation sqref="E4:E15" showDropDown="0" showInputMessage="0" showErrorMessage="0" allowBlank="0" type="list">
      <formula1>"Роль,Мандат,Решения,Данные,Доверие,AI / ИИ,Риск назначения"</formula1>
    </dataValidation>
    <dataValidation sqref="F4:G15" showDropDown="0" showInputMessage="0" showErrorMessage="0" allowBlank="0" type="whole" operator="between">
      <formula1>0</formula1>
      <formula2>3</formula2>
    </dataValidation>
  </dataValidations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34" customWidth="1" style="1" min="1" max="1"/>
    <col width="24" customWidth="1" style="1" min="2" max="2"/>
    <col width="22" customWidth="1" style="1" min="3" max="3"/>
    <col width="28" customWidth="1" style="1" min="4" max="4"/>
    <col width="46" customWidth="1" style="1" min="5" max="5"/>
  </cols>
  <sheetData>
    <row r="1">
      <c r="A1" s="17" t="inlineStr">
        <is>
          <t>Расчёт оценки руководителя</t>
        </is>
      </c>
      <c r="F1" s="17" t="n"/>
      <c r="G1" s="17" t="n"/>
      <c r="H1" s="17" t="n"/>
      <c r="I1" s="18" t="n"/>
    </row>
    <row r="2">
      <c r="A2" s="18" t="n"/>
      <c r="B2" s="18" t="n"/>
      <c r="C2" s="18" t="n"/>
      <c r="D2" s="18" t="n"/>
      <c r="E2" s="18" t="n"/>
      <c r="F2" s="18" t="n"/>
      <c r="G2" s="18" t="n"/>
      <c r="H2" s="18" t="n"/>
      <c r="I2" s="18" t="n"/>
    </row>
    <row r="3">
      <c r="A3" s="19" t="inlineStr">
        <is>
          <t>Показатель</t>
        </is>
      </c>
      <c r="B3" s="19" t="inlineStr">
        <is>
          <t>Значение</t>
        </is>
      </c>
      <c r="C3" s="19" t="inlineStr">
        <is>
          <t>Норма</t>
        </is>
      </c>
      <c r="D3" s="19" t="inlineStr">
        <is>
          <t>Источник</t>
        </is>
      </c>
      <c r="E3" s="19" t="inlineStr">
        <is>
          <t>Комментарий</t>
        </is>
      </c>
      <c r="F3" s="18" t="n"/>
      <c r="G3" s="24" t="inlineStr">
        <is>
          <t>Как читать расчет</t>
        </is>
      </c>
    </row>
    <row r="4" ht="24" customHeight="1" s="1">
      <c r="A4" s="20" t="inlineStr">
        <is>
          <t>Заполненность профиля</t>
        </is>
      </c>
      <c r="B4" s="29">
        <f>IFERROR(COUNT('02_Профиль'!C4:C10)/7,0)</f>
        <v/>
      </c>
      <c r="C4" s="20" t="inlineStr">
        <is>
          <t>100%</t>
        </is>
      </c>
      <c r="D4" s="20" t="inlineStr">
        <is>
          <t>02_Профиль</t>
        </is>
      </c>
      <c r="E4" s="20" t="str"/>
      <c r="F4" s="18" t="n"/>
      <c r="G4" s="26" t="inlineStr">
        <is>
          <t>RRI / риск роли руководителя — рабочий сигнал CLM. Он не является психологическим индексом.</t>
        </is>
      </c>
      <c r="H4" s="34" t="n"/>
      <c r="I4" s="35" t="n"/>
    </row>
    <row r="5" ht="24" customHeight="1" s="1">
      <c r="A5" s="20" t="inlineStr">
        <is>
          <t>Средний профиль готовности</t>
        </is>
      </c>
      <c r="B5" s="20">
        <f>IFERROR(AVERAGE('02_Профиль'!C4:C10),"")</f>
        <v/>
      </c>
      <c r="C5" s="20" t="inlineStr">
        <is>
          <t>0-3</t>
        </is>
      </c>
      <c r="D5" s="20" t="inlineStr">
        <is>
          <t>02_Профиль</t>
        </is>
      </c>
      <c r="E5" s="20" t="str"/>
      <c r="F5" s="18" t="n"/>
      <c r="G5" s="26" t="inlineStr">
        <is>
          <t>Высокий риск означает, что текущая связка руководитель-рôle-мандат опасна для результата.</t>
        </is>
      </c>
      <c r="H5" s="34" t="n"/>
      <c r="I5" s="35" t="n"/>
    </row>
    <row r="6" ht="24" customHeight="1" s="1">
      <c r="A6" s="20" t="inlineStr">
        <is>
          <t>RRI / риск роли руководителя</t>
        </is>
      </c>
      <c r="B6" s="22">
        <f>IF(B5="","",ROUND((3-B5)/3*100,0))</f>
        <v/>
      </c>
      <c r="C6" s="20" t="inlineStr">
        <is>
          <t>0-100</t>
        </is>
      </c>
      <c r="D6" s="20" t="inlineStr">
        <is>
          <t>Профиль + риск</t>
        </is>
      </c>
      <c r="E6" s="20" t="inlineStr">
        <is>
          <t>Чем выше, тем выше риск назначения</t>
        </is>
      </c>
      <c r="F6" s="18" t="n"/>
      <c r="G6" s="18" t="n"/>
      <c r="H6" s="18" t="n"/>
      <c r="I6" s="18" t="n"/>
    </row>
    <row r="7" ht="24" customHeight="1" s="1">
      <c r="A7" s="20" t="inlineStr">
        <is>
          <t>Статус</t>
        </is>
      </c>
      <c r="B7" s="20">
        <f>IF(B6="","",IF(B6&lt;=25,"GO / запускать",IF(B6&lt;=50,"HOLD / пауза","NO-GO / остановить")))</f>
        <v/>
      </c>
      <c r="C7" s="20" t="inlineStr">
        <is>
          <t>GO / HOLD / NO-GO</t>
        </is>
      </c>
      <c r="D7" s="20" t="inlineStr">
        <is>
          <t>Порог RRI</t>
        </is>
      </c>
      <c r="E7" s="20" t="str"/>
      <c r="F7" s="18" t="n"/>
      <c r="G7" s="18" t="n"/>
      <c r="H7" s="18" t="n"/>
      <c r="I7" s="18" t="n"/>
    </row>
    <row r="8" ht="24" customHeight="1" s="1">
      <c r="A8" s="20" t="inlineStr">
        <is>
          <t>Критичных осей</t>
        </is>
      </c>
      <c r="B8" s="20">
        <f>COUNTIF('02_Профиль'!H4:H10,"Критично")</f>
        <v/>
      </c>
      <c r="C8" s="20" t="inlineStr">
        <is>
          <t>0</t>
        </is>
      </c>
      <c r="D8" s="20" t="inlineStr">
        <is>
          <t>02_Профиль</t>
        </is>
      </c>
      <c r="E8" s="20" t="str"/>
      <c r="F8" s="18" t="n"/>
      <c r="G8" s="18" t="n"/>
      <c r="H8" s="18" t="n"/>
      <c r="I8" s="18" t="n"/>
    </row>
    <row r="9" ht="24" customHeight="1" s="1">
      <c r="A9" s="20" t="inlineStr">
        <is>
          <t>Количество доказательств</t>
        </is>
      </c>
      <c r="B9" s="20">
        <f>COUNTA('03_Доказательства'!B4:B15)</f>
        <v/>
      </c>
      <c r="C9" s="20" t="inlineStr">
        <is>
          <t>4+</t>
        </is>
      </c>
      <c r="D9" s="20" t="inlineStr">
        <is>
          <t>03_Доказательства</t>
        </is>
      </c>
      <c r="E9" s="20" t="str"/>
      <c r="F9" s="18" t="n"/>
      <c r="G9" s="18" t="n"/>
      <c r="H9" s="18" t="n"/>
      <c r="I9" s="18" t="n"/>
    </row>
    <row r="10" ht="24" customHeight="1" s="1">
      <c r="A10" s="20" t="inlineStr">
        <is>
          <t>Средняя сила фактов</t>
        </is>
      </c>
      <c r="B10" s="20">
        <f>IFERROR(AVERAGE('03_Доказательства'!F4:F15),"")</f>
        <v/>
      </c>
      <c r="C10" s="20" t="inlineStr">
        <is>
          <t>0-3</t>
        </is>
      </c>
      <c r="D10" s="20" t="inlineStr">
        <is>
          <t>03_Доказательства</t>
        </is>
      </c>
      <c r="E10" s="20" t="str"/>
      <c r="F10" s="18" t="n"/>
      <c r="G10" s="18" t="n"/>
      <c r="H10" s="18" t="n"/>
      <c r="I10" s="18" t="n"/>
    </row>
    <row r="11" ht="24" customHeight="1" s="1">
      <c r="A11" s="20" t="inlineStr">
        <is>
          <t>Средний риск фактов</t>
        </is>
      </c>
      <c r="B11" s="20">
        <f>IFERROR(AVERAGE('03_Доказательства'!G4:G15),"")</f>
        <v/>
      </c>
      <c r="C11" s="20" t="inlineStr">
        <is>
          <t>0-3</t>
        </is>
      </c>
      <c r="D11" s="20" t="inlineStr">
        <is>
          <t>03_Доказательства</t>
        </is>
      </c>
      <c r="E11" s="20" t="str"/>
      <c r="F11" s="18" t="n"/>
      <c r="G11" s="18" t="n"/>
      <c r="H11" s="18" t="n"/>
      <c r="I11" s="18" t="n"/>
    </row>
    <row r="12" ht="24" customHeight="1" s="1">
      <c r="A12" s="20" t="inlineStr">
        <is>
          <t>Рекомендуемое решение</t>
        </is>
      </c>
      <c r="B12" s="20">
        <f>'05_Отчет'!B9</f>
        <v/>
      </c>
      <c r="C12" s="20" t="inlineStr">
        <is>
          <t>Ручной выбор</t>
        </is>
      </c>
      <c r="D12" s="20" t="inlineStr">
        <is>
          <t>05_Отчет</t>
        </is>
      </c>
      <c r="E12" s="20" t="str"/>
      <c r="F12" s="18" t="n"/>
      <c r="G12" s="18" t="n"/>
      <c r="H12" s="18" t="n"/>
      <c r="I12" s="18" t="n"/>
    </row>
    <row r="13" ht="24" customHeight="1" s="1">
      <c r="A13" s="20" t="inlineStr">
        <is>
          <t>Дата обновления</t>
        </is>
      </c>
      <c r="B13" s="20">
        <f>'01_Ввод'!B5</f>
        <v/>
      </c>
      <c r="C13" s="20" t="inlineStr">
        <is>
          <t>Дата</t>
        </is>
      </c>
      <c r="D13" s="20" t="inlineStr">
        <is>
          <t>01_Ввод</t>
        </is>
      </c>
      <c r="E13" s="20" t="str"/>
      <c r="F13" s="18" t="n"/>
      <c r="G13" s="18" t="n"/>
      <c r="H13" s="18" t="n"/>
      <c r="I13" s="18" t="n"/>
    </row>
    <row r="14">
      <c r="A14" s="33" t="n"/>
      <c r="B14" s="33" t="n"/>
      <c r="C14" s="33" t="n"/>
      <c r="D14" s="33" t="n"/>
      <c r="E14" s="33" t="n"/>
      <c r="F14" s="18" t="n"/>
      <c r="G14" s="18" t="n"/>
      <c r="H14" s="18" t="n"/>
      <c r="I14" s="18" t="n"/>
    </row>
    <row r="15">
      <c r="A15" s="33" t="n"/>
      <c r="B15" s="33" t="n"/>
      <c r="C15" s="33" t="n"/>
      <c r="D15" s="33" t="n"/>
      <c r="E15" s="33" t="n"/>
      <c r="F15" s="18" t="n"/>
      <c r="G15" s="18" t="n"/>
      <c r="H15" s="18" t="n"/>
      <c r="I15" s="18" t="n"/>
    </row>
  </sheetData>
  <mergeCells count="4">
    <mergeCell ref="G5:I5"/>
    <mergeCell ref="A1:E1"/>
    <mergeCell ref="G4:I4"/>
    <mergeCell ref="G3:I3"/>
  </mergeCells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36" customWidth="1" style="1" min="1" max="1"/>
    <col width="46" customWidth="1" style="1" min="2" max="2"/>
    <col width="38" customWidth="1" style="1" min="3" max="3"/>
    <col width="38" customWidth="1" style="1" min="4" max="4"/>
    <col width="12" customWidth="1" style="1" min="5" max="5"/>
    <col width="12" customWidth="1" style="1" min="6" max="6"/>
    <col width="12" customWidth="1" style="1" min="7" max="7"/>
    <col width="12" customWidth="1" style="1" min="8" max="8"/>
  </cols>
  <sheetData>
    <row r="1">
      <c r="A1" s="17" t="inlineStr">
        <is>
          <t>Отчёт Блока 4</t>
        </is>
      </c>
    </row>
    <row r="2">
      <c r="A2" s="18" t="n"/>
      <c r="B2" s="18" t="n"/>
      <c r="C2" s="18" t="n"/>
      <c r="D2" s="18" t="n"/>
      <c r="E2" s="18" t="n"/>
      <c r="F2" s="18" t="n"/>
      <c r="G2" s="18" t="n"/>
      <c r="H2" s="18" t="n"/>
    </row>
    <row r="3">
      <c r="A3" s="25" t="inlineStr">
        <is>
          <t>Поле</t>
        </is>
      </c>
      <c r="B3" s="25" t="inlineStr">
        <is>
          <t>Вывод</t>
        </is>
      </c>
      <c r="C3" s="18" t="n"/>
      <c r="D3" s="18" t="n"/>
      <c r="E3" s="18" t="n"/>
      <c r="F3" s="24" t="inlineStr">
        <is>
          <t>Формула вывода</t>
        </is>
      </c>
    </row>
    <row r="4">
      <c r="A4" s="20" t="inlineStr">
        <is>
          <t>Клиент</t>
        </is>
      </c>
      <c r="B4" s="20">
        <f>'01_Ввод'!B4</f>
        <v/>
      </c>
      <c r="C4" s="18" t="n"/>
      <c r="D4" s="18" t="n"/>
      <c r="E4" s="18" t="n"/>
      <c r="F4" s="26" t="inlineStr">
        <is>
          <t>Роль + мандат + факты → профиль готовности → RRI / риск роли → решение → план 30 / 60 / 90.</t>
        </is>
      </c>
      <c r="G4" s="34" t="n"/>
      <c r="H4" s="35" t="n"/>
    </row>
    <row r="5">
      <c r="A5" s="20" t="inlineStr">
        <is>
          <t>Руководитель</t>
        </is>
      </c>
      <c r="B5" s="20">
        <f>'01_Ввод'!B6</f>
        <v/>
      </c>
      <c r="C5" s="18" t="n"/>
      <c r="D5" s="18" t="n"/>
      <c r="E5" s="18" t="n"/>
      <c r="F5" s="18" t="n"/>
      <c r="G5" s="18" t="n"/>
      <c r="H5" s="18" t="n"/>
    </row>
    <row r="6">
      <c r="A6" s="20" t="inlineStr">
        <is>
          <t>Роль CLM</t>
        </is>
      </c>
      <c r="B6" s="20">
        <f>'01_Ввод'!B8</f>
        <v/>
      </c>
      <c r="C6" s="18" t="n"/>
      <c r="D6" s="18" t="n"/>
      <c r="E6" s="18" t="n"/>
      <c r="F6" s="18" t="n"/>
      <c r="G6" s="18" t="n"/>
      <c r="H6" s="18" t="n"/>
    </row>
    <row r="7">
      <c r="A7" s="20" t="inlineStr">
        <is>
          <t>RRI / риск роли руководителя</t>
        </is>
      </c>
      <c r="B7" s="22">
        <f>'04_Расчет'!B6</f>
        <v/>
      </c>
      <c r="C7" s="18" t="n"/>
      <c r="D7" s="18" t="n"/>
      <c r="E7" s="18" t="n"/>
      <c r="F7" s="18" t="n"/>
      <c r="G7" s="18" t="n"/>
      <c r="H7" s="18" t="n"/>
    </row>
    <row r="8">
      <c r="A8" s="20" t="inlineStr">
        <is>
          <t>Статус</t>
        </is>
      </c>
      <c r="B8" s="20">
        <f>'04_Расчет'!B7</f>
        <v/>
      </c>
      <c r="C8" s="18" t="n"/>
      <c r="D8" s="18" t="n"/>
      <c r="E8" s="18" t="n"/>
      <c r="F8" s="18" t="n"/>
      <c r="G8" s="18" t="n"/>
      <c r="H8" s="18" t="n"/>
    </row>
    <row r="9">
      <c r="A9" s="20" t="inlineStr">
        <is>
          <t>Итоговое решение</t>
        </is>
      </c>
      <c r="B9" s="31" t="str"/>
      <c r="C9" s="18" t="n"/>
      <c r="D9" s="18" t="n"/>
      <c r="E9" s="18" t="n"/>
      <c r="F9" s="18" t="n"/>
      <c r="G9" s="18" t="n"/>
      <c r="H9" s="18" t="n"/>
    </row>
    <row r="10">
      <c r="A10" s="20" t="inlineStr">
        <is>
          <t>Комментарий консультанта</t>
        </is>
      </c>
      <c r="B10" s="31" t="str"/>
      <c r="C10" s="18" t="n"/>
      <c r="D10" s="18" t="n"/>
      <c r="E10" s="18" t="n"/>
      <c r="F10" s="18" t="n"/>
      <c r="G10" s="18" t="n"/>
      <c r="H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</row>
    <row r="12">
      <c r="A12" s="23" t="inlineStr">
        <is>
          <t>Решение для 4 сторон</t>
        </is>
      </c>
      <c r="E12" s="18" t="n"/>
      <c r="F12" s="18" t="n"/>
      <c r="G12" s="18" t="n"/>
      <c r="H12" s="18" t="n"/>
    </row>
    <row r="13">
      <c r="A13" s="19" t="inlineStr">
        <is>
          <t>Сторона</t>
        </is>
      </c>
      <c r="B13" s="19" t="inlineStr">
        <is>
          <t>Что показать</t>
        </is>
      </c>
      <c r="C13" s="19" t="inlineStr">
        <is>
          <t>Что не включать</t>
        </is>
      </c>
      <c r="D13" s="19" t="inlineStr">
        <is>
          <t>Решение</t>
        </is>
      </c>
      <c r="E13" s="18" t="n"/>
      <c r="F13" s="18" t="n"/>
      <c r="G13" s="18" t="n"/>
      <c r="H13" s="18" t="n"/>
    </row>
    <row r="14">
      <c r="A14" s="20" t="inlineStr">
        <is>
          <t>CEO / генеральный директор</t>
        </is>
      </c>
      <c r="B14" s="20" t="inlineStr">
        <is>
          <t>Соответствует ли руководитель роли и что делать с мандатом</t>
        </is>
      </c>
      <c r="C14" s="20" t="inlineStr">
        <is>
          <t>Личностные ярлыки и слухи</t>
        </is>
      </c>
      <c r="D14" s="31" t="str"/>
      <c r="E14" s="18" t="n"/>
      <c r="F14" s="18" t="n"/>
      <c r="G14" s="18" t="n"/>
      <c r="H14" s="18" t="n"/>
    </row>
    <row r="15">
      <c r="A15" s="20" t="inlineStr">
        <is>
          <t>C-level-команда / первый управленческий круг</t>
        </is>
      </c>
      <c r="B15" s="20" t="inlineStr">
        <is>
          <t>Какие ожидания по роли, решениям и данным нужно закрепить</t>
        </is>
      </c>
      <c r="C15" s="20" t="inlineStr">
        <is>
          <t>Закрытые персональные риски</t>
        </is>
      </c>
      <c r="D15" s="31" t="str"/>
      <c r="E15" s="18" t="n"/>
      <c r="F15" s="18" t="n"/>
      <c r="G15" s="18" t="n"/>
      <c r="H15" s="18" t="n"/>
    </row>
    <row r="16">
      <c r="A16" s="20" t="inlineStr">
        <is>
          <t>Владелец компании</t>
        </is>
      </c>
      <c r="B16" s="20" t="inlineStr">
        <is>
          <t>Риск назначения и влияние на управляемость</t>
        </is>
      </c>
      <c r="C16" s="20" t="inlineStr">
        <is>
          <t>Мелкие рабочие замечания</t>
        </is>
      </c>
      <c r="D16" s="31" t="str"/>
      <c r="E16" s="18" t="n"/>
      <c r="F16" s="18" t="n"/>
      <c r="G16" s="18" t="n"/>
      <c r="H16" s="18" t="n"/>
    </row>
    <row r="17">
      <c r="A17" s="20" t="inlineStr">
        <is>
          <t>Board / совет директоров</t>
        </is>
      </c>
      <c r="B17" s="20" t="inlineStr">
        <is>
          <t>Статус риска и управленческое решение</t>
        </is>
      </c>
      <c r="C17" s="20" t="inlineStr">
        <is>
          <t>Детали интервью и персональные оценки</t>
        </is>
      </c>
      <c r="D17" s="31" t="str"/>
      <c r="E17" s="18" t="n"/>
      <c r="F17" s="18" t="n"/>
      <c r="G17" s="18" t="n"/>
      <c r="H17" s="18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</row>
    <row r="19">
      <c r="A19" s="23" t="inlineStr">
        <is>
          <t>План 30 / 60 / 90</t>
        </is>
      </c>
      <c r="E19" s="18" t="n"/>
      <c r="F19" s="18" t="n"/>
      <c r="G19" s="18" t="n"/>
      <c r="H19" s="18" t="n"/>
    </row>
    <row r="20">
      <c r="A20" s="19" t="inlineStr">
        <is>
          <t>Горизонт</t>
        </is>
      </c>
      <c r="B20" s="19" t="inlineStr">
        <is>
          <t>Цель</t>
        </is>
      </c>
      <c r="C20" s="19" t="inlineStr">
        <is>
          <t>Действие</t>
        </is>
      </c>
      <c r="D20" s="19" t="inlineStr">
        <is>
          <t>Метрика</t>
        </is>
      </c>
      <c r="E20" s="18" t="n"/>
      <c r="F20" s="18" t="n"/>
      <c r="G20" s="18" t="n"/>
      <c r="H20" s="18" t="n"/>
    </row>
    <row r="21">
      <c r="A21" s="20" t="inlineStr">
        <is>
          <t>30 дней</t>
        </is>
      </c>
      <c r="B21" s="20" t="inlineStr">
        <is>
          <t>Проверить решение</t>
        </is>
      </c>
      <c r="C21" s="31" t="str"/>
      <c r="D21" s="31" t="str"/>
      <c r="E21" s="18" t="n"/>
      <c r="F21" s="18" t="n"/>
      <c r="G21" s="18" t="n"/>
      <c r="H21" s="18" t="n"/>
    </row>
    <row r="22">
      <c r="A22" s="20" t="inlineStr">
        <is>
          <t>60 дней</t>
        </is>
      </c>
      <c r="B22" s="20" t="inlineStr">
        <is>
          <t>Закрепить мандат или перераспределение</t>
        </is>
      </c>
      <c r="C22" s="31" t="str"/>
      <c r="D22" s="31" t="str"/>
      <c r="E22" s="18" t="n"/>
      <c r="F22" s="18" t="n"/>
      <c r="G22" s="18" t="n"/>
      <c r="H22" s="18" t="n"/>
    </row>
    <row r="23">
      <c r="A23" s="20" t="inlineStr">
        <is>
          <t>90 дней</t>
        </is>
      </c>
      <c r="B23" s="20" t="inlineStr">
        <is>
          <t>Проверить устойчивость результата</t>
        </is>
      </c>
      <c r="C23" s="31" t="str"/>
      <c r="D23" s="31" t="str"/>
      <c r="E23" s="18" t="n"/>
      <c r="F23" s="18" t="n"/>
      <c r="G23" s="18" t="n"/>
      <c r="H23" s="18" t="n"/>
    </row>
  </sheetData>
  <mergeCells count="5">
    <mergeCell ref="A12:D12"/>
    <mergeCell ref="F4:H4"/>
    <mergeCell ref="A19:D19"/>
    <mergeCell ref="A1:H1"/>
    <mergeCell ref="F3:H3"/>
  </mergeCells>
  <dataValidations count="1">
    <dataValidation sqref="B9" showDropDown="0" showInputMessage="0" showErrorMessage="0" allowBlank="0" type="list">
      <formula1>'90_Справочник'!$A$2:$A$6</formula1>
    </dataValidation>
  </dataValidations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5"/>
  <cols>
    <col width="22" customWidth="1" style="1" min="1" max="1"/>
    <col width="62" customWidth="1" style="1" min="2" max="2"/>
    <col width="4" customWidth="1" style="1" min="3" max="3"/>
    <col width="10" customWidth="1" style="1" min="4" max="4"/>
    <col width="10" customWidth="1" style="1" min="5" max="5"/>
    <col width="22" customWidth="1" style="1" min="6" max="6"/>
    <col width="4" customWidth="1" style="1" min="7" max="7"/>
    <col width="24" customWidth="1" style="1" min="8" max="8"/>
    <col width="82" customWidth="1" style="1" min="9" max="9"/>
  </cols>
  <sheetData>
    <row r="1">
      <c r="A1" s="19" t="inlineStr">
        <is>
          <t>Решение</t>
        </is>
      </c>
      <c r="B1" s="19" t="inlineStr">
        <is>
          <t>Смысл</t>
        </is>
      </c>
      <c r="C1" s="17" t="n"/>
      <c r="D1" s="25" t="inlineStr">
        <is>
          <t>Оценка</t>
        </is>
      </c>
      <c r="E1" s="25" t="inlineStr">
        <is>
          <t>Риск</t>
        </is>
      </c>
      <c r="F1" s="25" t="inlineStr">
        <is>
          <t>Статус</t>
        </is>
      </c>
      <c r="G1" s="17" t="n"/>
      <c r="H1" s="25" t="inlineStr">
        <is>
          <t>Тип доказательства</t>
        </is>
      </c>
      <c r="I1" s="25" t="inlineStr">
        <is>
          <t>Описание</t>
        </is>
      </c>
    </row>
    <row r="2">
      <c r="A2" s="20" t="inlineStr">
        <is>
          <t>Развить</t>
        </is>
      </c>
      <c r="B2" s="20" t="inlineStr">
        <is>
          <t>Руководитель в целом соответствует роли; нужны точечные улучшения.</t>
        </is>
      </c>
      <c r="C2" s="18" t="n"/>
      <c r="D2" s="20" t="n">
        <v>0</v>
      </c>
      <c r="E2" s="20" t="n">
        <v>0</v>
      </c>
      <c r="F2" s="20" t="inlineStr">
        <is>
          <t>GO / запускать</t>
        </is>
      </c>
      <c r="G2" s="18" t="n"/>
      <c r="H2" s="20" t="inlineStr">
        <is>
          <t>Факт решения</t>
        </is>
      </c>
      <c r="I2" s="20" t="inlineStr">
        <is>
          <t>Что было выбрано, кем, на каких данных и с каким последствием.</t>
        </is>
      </c>
    </row>
    <row r="3">
      <c r="A3" s="20" t="inlineStr">
        <is>
          <t>Усилить</t>
        </is>
      </c>
      <c r="B3" s="20" t="inlineStr">
        <is>
          <t>Роль важна, но нужны опора, данные, мандат или второй контур.</t>
        </is>
      </c>
      <c r="C3" s="18" t="n"/>
      <c r="D3" s="20" t="n">
        <v>1</v>
      </c>
      <c r="E3" s="20" t="n">
        <v>1</v>
      </c>
      <c r="F3" s="20" t="inlineStr">
        <is>
          <t>HOLD / пауза</t>
        </is>
      </c>
      <c r="G3" s="18" t="n"/>
      <c r="H3" s="20" t="inlineStr">
        <is>
          <t>Факт мандата</t>
        </is>
      </c>
      <c r="I3" s="20" t="inlineStr">
        <is>
          <t>Где руководитель реально имеет право действовать, а где только формально числится владельцем.</t>
        </is>
      </c>
    </row>
    <row r="4">
      <c r="A4" s="20" t="inlineStr">
        <is>
          <t>Перераспределить</t>
        </is>
      </c>
      <c r="B4" s="20" t="inlineStr">
        <is>
          <t>Часть мандата нужно передать другой роли или разделить.</t>
        </is>
      </c>
      <c r="C4" s="18" t="n"/>
      <c r="D4" s="20" t="n">
        <v>2</v>
      </c>
      <c r="E4" s="20" t="n">
        <v>2</v>
      </c>
      <c r="F4" s="20" t="inlineStr">
        <is>
          <t>NO-GO / остановить</t>
        </is>
      </c>
      <c r="G4" s="18" t="n"/>
      <c r="H4" s="20" t="inlineStr">
        <is>
          <t>Факт поведения</t>
        </is>
      </c>
      <c r="I4" s="20" t="inlineStr">
        <is>
          <t>Как руководитель действует при неопределенности, конфликте функций и дефиците данных.</t>
        </is>
      </c>
    </row>
    <row r="5">
      <c r="A5" s="20" t="inlineStr">
        <is>
          <t>Заменить</t>
        </is>
      </c>
      <c r="B5" s="20" t="inlineStr">
        <is>
          <t>Риск для результата выше, чем потенциал развития в текущей роли.</t>
        </is>
      </c>
      <c r="C5" s="18" t="n"/>
      <c r="D5" s="20" t="n">
        <v>3</v>
      </c>
      <c r="E5" s="20" t="n">
        <v>3</v>
      </c>
      <c r="F5" s="20" t="n"/>
      <c r="G5" s="18" t="n"/>
      <c r="H5" s="20" t="inlineStr">
        <is>
          <t>Факт риска</t>
        </is>
      </c>
      <c r="I5" s="20" t="inlineStr">
        <is>
          <t>Какой ущерб или задержка возникнут, если оставить текущую конфигурацию без изменения.</t>
        </is>
      </c>
    </row>
    <row r="6">
      <c r="A6" s="20" t="inlineStr">
        <is>
          <t>Наблюдать</t>
        </is>
      </c>
      <c r="B6" s="20" t="inlineStr">
        <is>
          <t>Фактов недостаточно; нужен короткий период проверки.</t>
        </is>
      </c>
      <c r="C6" s="18" t="n"/>
      <c r="D6" s="18" t="n"/>
      <c r="E6" s="18" t="n"/>
      <c r="F6" s="18" t="n"/>
      <c r="G6" s="18" t="n"/>
      <c r="H6" s="18" t="n"/>
      <c r="I6" s="18" t="n"/>
    </row>
  </sheetData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Управление Директорами — CLM_BLOCK_04_EXECUTIVE_ASSESSMENT_TOOLKIT_RELEASE_V1_LIGHT</dc:title>
  <dc:subject xmlns:dc="http://purl.org/dc/elements/1.1/">Технологическая основа: CLM / C-Level Management / управление C-level-ядром</dc:subject>
  <dcterms:created xmlns:dcterms="http://purl.org/dc/terms/" xmlns:xsi="http://www.w3.org/2001/XMLSchema-instance" xsi:type="dcterms:W3CDTF">2026-07-07T08:42:41Z</dcterms:created>
  <dcterms:modified xmlns:dcterms="http://purl.org/dc/terms/" xmlns:xsi="http://www.w3.org/2001/XMLSchema-instance" xsi:type="dcterms:W3CDTF">2026-07-21T08:33:50Z</dcterms:modified>
</cp:coreProperties>
</file>