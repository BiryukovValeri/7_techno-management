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Приборы" sheetId="3" state="visible" r:id="rId3"/>
    <sheet xmlns:r="http://schemas.openxmlformats.org/officeDocument/2006/relationships" name="03_Сигналы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Заполненность 7 приборов панели. Блок 10 не должен давать вердикт без всех 7 приборов.</t>
      </text>
    </comment>
    <comment ref="B6" authorId="0" shapeId="0">
      <text>
        <t>Среднее состояние панели по шкале 0-100.</t>
      </text>
    </comment>
    <comment ref="B7" authorId="0" shapeId="0">
      <text>
        <t>Критичные приборы показываются только после достаточного заполнения.</t>
      </text>
    </comment>
    <comment ref="B8" authorId="0" shapeId="0">
      <text>
        <t>Количество приборов, которые должны уйти в Блок 11.</t>
      </text>
    </comment>
    <comment ref="B9" authorId="0" shapeId="0">
      <text>
        <t>Dashboard Readiness Score: готовность панели стать управленческим экраном.</t>
      </text>
    </comment>
    <comment ref="B10" authorId="0" shapeId="0">
      <text>
        <t>Итоговый статус Блока 10.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запуска панели.</t>
      </text>
    </comment>
    <comment ref="B6" authorId="0" shapeId="0">
      <text>
        <t>Главный вывод по состоянию C-level-ядра из Блока 3.</t>
      </text>
    </comment>
    <comment ref="B7" authorId="0" shapeId="0">
      <text>
        <t>Главный вывод по ролям и мандатам из Блока 4.</t>
      </text>
    </comment>
    <comment ref="B8" authorId="0" shapeId="0">
      <text>
        <t>Главный вывод по Decision OS / системе решений из Блока 5.</t>
      </text>
    </comment>
    <comment ref="B9" authorId="0" shapeId="0">
      <text>
        <t>Главный вывод по синхронизации из Блока 6.</t>
      </text>
    </comment>
    <comment ref="B10" authorId="0" shapeId="0">
      <text>
        <t>Главный вывод по устойчивости из Блока 7.</t>
      </text>
    </comment>
    <comment ref="B11" authorId="0" shapeId="0">
      <text>
        <t>Главный вывод по лидерскому переходу из Блока 8.</t>
      </text>
    </comment>
    <comment ref="B12" authorId="0" shapeId="0">
      <text>
        <t>Главный вывод по AI / ИИ-допуску из Блока 9.</t>
      </text>
    </comment>
    <comment ref="B13" authorId="0" shapeId="0">
      <text>
        <t>Кто отвечает за актуальность панели и передачу сигналов.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D3" authorId="0" shapeId="0">
      <text>
        <t>Введите значение 0-100. 75+ — норма, 50-74 — риск, ниже 50 — критично.</t>
      </text>
    </comment>
    <comment ref="E3" authorId="0" shapeId="0">
      <text>
        <t>Тренд нужен для управленческой интерпретации: улучшается, стабильно, ухудшается.</t>
      </text>
    </comment>
    <comment ref="F3" authorId="0" shapeId="0">
      <text>
        <t>Владелец реакции: роль или человек, который должен действовать по сигналу.</t>
      </text>
    </comment>
    <comment ref="G3" authorId="0" shapeId="0">
      <text>
        <t>Ритм обновления: еженедельно, ежемесячно, ежеквартально или по событию.</t>
      </text>
    </comment>
    <comment ref="H3" authorId="0" shapeId="0">
      <text>
        <t>Факт, источник или короткое объяснение.</t>
      </text>
    </comment>
    <comment ref="I3" authorId="0" shapeId="0">
      <text>
        <t>Автоматический статус прибора. Не заполнять вручную.</t>
      </text>
    </comment>
    <comment ref="J3" authorId="0" shapeId="0">
      <text>
        <t>Автоматическое решение о передаче в Блок 11.</t>
      </text>
    </comment>
    <comment ref="D4" authorId="0" shapeId="0">
      <text>
        <t>Не вводите оценку без источника. Лучше оставить пусто, чем создать ложную точность.</t>
      </text>
    </comment>
    <comment ref="F4" authorId="0" shapeId="0">
      <text>
        <t>Если владельца реакции нет, сигнал не готов для управленческой панели.</t>
      </text>
    </comment>
    <comment ref="D5" authorId="0" shapeId="0">
      <text>
        <t>Не вводите оценку без источника. Лучше оставить пусто, чем создать ложную точность.</t>
      </text>
    </comment>
    <comment ref="F5" authorId="0" shapeId="0">
      <text>
        <t>Если владельца реакции нет, сигнал не готов для управленческой панели.</t>
      </text>
    </comment>
    <comment ref="D6" authorId="0" shapeId="0">
      <text>
        <t>Не вводите оценку без источника. Лучше оставить пусто, чем создать ложную точность.</t>
      </text>
    </comment>
    <comment ref="F6" authorId="0" shapeId="0">
      <text>
        <t>Если владельца реакции нет, сигнал не готов для управленческой панели.</t>
      </text>
    </comment>
    <comment ref="D7" authorId="0" shapeId="0">
      <text>
        <t>Не вводите оценку без источника. Лучше оставить пусто, чем создать ложную точность.</t>
      </text>
    </comment>
    <comment ref="F7" authorId="0" shapeId="0">
      <text>
        <t>Если владельца реакции нет, сигнал не готов для управленческой панели.</t>
      </text>
    </comment>
    <comment ref="D8" authorId="0" shapeId="0">
      <text>
        <t>Не вводите оценку без источника. Лучше оставить пусто, чем создать ложную точность.</t>
      </text>
    </comment>
    <comment ref="F8" authorId="0" shapeId="0">
      <text>
        <t>Если владельца реакции нет, сигнал не готов для управленческой панели.</t>
      </text>
    </comment>
    <comment ref="D9" authorId="0" shapeId="0">
      <text>
        <t>Не вводите оценку без источника. Лучше оставить пусто, чем создать ложную точность.</t>
      </text>
    </comment>
    <comment ref="F9" authorId="0" shapeId="0">
      <text>
        <t>Если владельца реакции нет, сигнал не готов для управленческой панели.</t>
      </text>
    </comment>
    <comment ref="D10" authorId="0" shapeId="0">
      <text>
        <t>Не вводите оценку без источника. Лучше оставить пусто, чем создать ложную точность.</t>
      </text>
    </comment>
    <comment ref="F10" authorId="0" shapeId="0">
      <text>
        <t>Если владельца реакции нет, сигнал не готов для управленческой панели.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B3" authorId="0" shapeId="0">
      <text>
        <t>Выберите прибор панели, из которого пришёл сигнал.</t>
      </text>
    </comment>
    <comment ref="C3" authorId="0" shapeId="0">
      <text>
        <t>Коротко: что произошло.</t>
      </text>
    </comment>
    <comment ref="D3" authorId="0" shapeId="0">
      <text>
        <t>Почему сигнал возник: причина или гипотеза причины.</t>
      </text>
    </comment>
    <comment ref="E3" authorId="0" shapeId="0">
      <text>
        <t>Кто отвечает за реакцию.</t>
      </text>
    </comment>
    <comment ref="F3" authorId="0" shapeId="0">
      <text>
        <t>Горизонт передачи в Блок 11.</t>
      </text>
    </comment>
    <comment ref="G3" authorId="0" shapeId="0">
      <text>
        <t>Как будет понятно, что вмешательство сработало.</t>
      </text>
    </comment>
    <comment ref="H3" authorId="0" shapeId="0">
      <text>
        <t>Открытая панель или закрытый диагностический слой.</t>
      </text>
    </comment>
    <comment ref="I3" authorId="0" shapeId="0">
      <text>
        <t>0 — сигнал сырой; 3 — готов к передаче в Блок 11.</t>
      </text>
    </comment>
    <comment ref="J3" authorId="0" shapeId="0">
      <text>
        <t>Автоматический статус передачи.</t>
      </text>
    </comment>
    <comment ref="G4" authorId="0" shapeId="0">
      <text>
        <t>Результат должен быть проверяемым: метрика, факт, изменение статуса или закрытый риск.</t>
      </text>
    </comment>
    <comment ref="G5" authorId="0" shapeId="0">
      <text>
        <t>Результат должен быть проверяемым: метрика, факт, изменение статуса или закрытый риск.</t>
      </text>
    </comment>
    <comment ref="G6" authorId="0" shapeId="0">
      <text>
        <t>Результат должен быть проверяемым: метрика, факт, изменение статуса или закрытый риск.</t>
      </text>
    </comment>
    <comment ref="G7" authorId="0" shapeId="0">
      <text>
        <t>Результат должен быть проверяемым: метрика, факт, изменение статуса или закрытый риск.</t>
      </text>
    </comment>
    <comment ref="G8" authorId="0" shapeId="0">
      <text>
        <t>Результат должен быть проверяемым: метрика, факт, изменение статуса или закрытый риск.</t>
      </text>
    </comment>
    <comment ref="G9" authorId="0" shapeId="0">
      <text>
        <t>Результат должен быть проверяемым: метрика, факт, изменение статуса или закрытый риск.</t>
      </text>
    </comment>
    <comment ref="G10" authorId="0" shapeId="0">
      <text>
        <t>Результат должен быть проверяемым: метрика, факт, изменение статуса или закрытый риск.</t>
      </text>
    </comment>
    <comment ref="G11" authorId="0" shapeId="0">
      <text>
        <t>Результат должен быть проверяемым: метрика, факт, изменение статуса или закрытый риск.</t>
      </text>
    </comment>
    <comment ref="G12" authorId="0" shapeId="0">
      <text>
        <t>Результат должен быть проверяемым: метрика, факт, изменение статуса или закрытый риск.</t>
      </text>
    </comment>
    <comment ref="G13" authorId="0" shapeId="0">
      <text>
        <t>Результат должен быть проверяемым: метрика, факт, изменение статуса или закрытый риск.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  <comment ref="B14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Выберите следующий блок: обычно Блок 11, если есть приоритеты дорожной карты.</t>
      </text>
    </comment>
    <comment ref="B10" authorId="0" shapeId="0">
      <text>
        <t>Первое действие должно закрывать конкретный прибор, владельца реакции или сигнал.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Справочник 7 приборов панели.</t>
      </text>
    </comment>
    <comment ref="G1" authorId="0" shapeId="0">
      <text>
        <t>Правила чтения статусов.</t>
      </text>
    </comment>
    <comment ref="K1" authorId="0" shapeId="0">
      <text>
        <t>Следующий блок выбирается после расчета и управленческого вывода.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4" customWidth="1" style="1" min="2" max="2"/>
    <col width="34" customWidth="1" style="1" min="3" max="3"/>
    <col width="24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6" t="inlineStr">
        <is>
          <t>CLM Блок 10. Панель управляемости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Комментарий</t>
        </is>
      </c>
      <c r="E3" s="17" t="n"/>
      <c r="F3" s="17" t="n"/>
      <c r="G3" s="17" t="n"/>
      <c r="H3" s="17" t="n"/>
    </row>
    <row r="4">
      <c r="A4" s="19" t="inlineStr">
        <is>
          <t>Клиент</t>
        </is>
      </c>
      <c r="B4" s="19">
        <f>IF('01_Ввод'!B4="","",'01_Ввод'!B4)</f>
        <v/>
      </c>
      <c r="C4" s="19" t="str"/>
      <c r="D4" s="19" t="str"/>
      <c r="E4" s="17" t="n"/>
      <c r="F4" s="17" t="n"/>
      <c r="G4" s="17" t="n"/>
      <c r="H4" s="17" t="n"/>
    </row>
    <row r="5">
      <c r="A5" s="19" t="inlineStr">
        <is>
          <t>Заполненность приборов</t>
        </is>
      </c>
      <c r="B5" s="20">
        <f>'04_Расчет'!B4</f>
        <v/>
      </c>
      <c r="C5" s="19" t="inlineStr">
        <is>
          <t>100%</t>
        </is>
      </c>
      <c r="D5" s="19" t="str"/>
      <c r="E5" s="17" t="n"/>
      <c r="F5" s="17" t="n"/>
      <c r="G5" s="17" t="n"/>
      <c r="H5" s="17" t="n"/>
    </row>
    <row r="6">
      <c r="A6" s="19" t="inlineStr">
        <is>
          <t>Среднее состояние панели</t>
        </is>
      </c>
      <c r="B6" s="19">
        <f>'04_Расчет'!B5</f>
        <v/>
      </c>
      <c r="C6" s="19" t="inlineStr">
        <is>
          <t>75+</t>
        </is>
      </c>
      <c r="D6" s="19" t="str"/>
      <c r="E6" s="17" t="n"/>
      <c r="F6" s="17" t="n"/>
      <c r="G6" s="17" t="n"/>
      <c r="H6" s="17" t="n"/>
    </row>
    <row r="7">
      <c r="A7" s="19" t="inlineStr">
        <is>
          <t>Критичных приборов</t>
        </is>
      </c>
      <c r="B7" s="19">
        <f>IF('04_Расчет'!B11="","Нет данных",'04_Расчет'!B8)</f>
        <v/>
      </c>
      <c r="C7" s="19" t="inlineStr">
        <is>
          <t>0</t>
        </is>
      </c>
      <c r="D7" s="19" t="str"/>
      <c r="E7" s="17" t="n"/>
      <c r="F7" s="17" t="n"/>
      <c r="G7" s="17" t="n"/>
      <c r="H7" s="17" t="n"/>
    </row>
    <row r="8">
      <c r="A8" s="19" t="inlineStr">
        <is>
          <t>Приоритетов для Блока 11</t>
        </is>
      </c>
      <c r="B8" s="19">
        <f>IF('04_Расчет'!B11="","Нет данных",'04_Расчет'!B9)</f>
        <v/>
      </c>
      <c r="C8" s="19" t="inlineStr">
        <is>
          <t>1-7</t>
        </is>
      </c>
      <c r="D8" s="19" t="str"/>
      <c r="E8" s="17" t="n"/>
      <c r="F8" s="17" t="n"/>
      <c r="G8" s="17" t="n"/>
      <c r="H8" s="17" t="n"/>
    </row>
    <row r="9">
      <c r="A9" s="19" t="inlineStr">
        <is>
          <t>Dashboard Readiness Score</t>
        </is>
      </c>
      <c r="B9" s="21">
        <f>'04_Расчет'!B11</f>
        <v/>
      </c>
      <c r="C9" s="19" t="inlineStr">
        <is>
          <t>75+</t>
        </is>
      </c>
      <c r="D9" s="19" t="str"/>
      <c r="E9" s="17" t="n"/>
      <c r="F9" s="17" t="n"/>
      <c r="G9" s="17" t="n"/>
      <c r="H9" s="17" t="n"/>
    </row>
    <row r="10">
      <c r="A10" s="19" t="inlineStr">
        <is>
          <t>Статус</t>
        </is>
      </c>
      <c r="B10" s="19">
        <f>'04_Расчет'!B12</f>
        <v/>
      </c>
      <c r="C10" s="19" t="inlineStr">
        <is>
          <t>GO / HOLD / NO-GO</t>
        </is>
      </c>
      <c r="D10" s="19" t="str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7 приборов панели</t>
        </is>
      </c>
      <c r="E12" s="17" t="n"/>
      <c r="F12" s="23" t="inlineStr">
        <is>
          <t>Что проверяет Блок 10</t>
        </is>
      </c>
    </row>
    <row r="13">
      <c r="A13" s="24" t="inlineStr">
        <is>
          <t>Прибор</t>
        </is>
      </c>
      <c r="B13" s="24" t="inlineStr">
        <is>
          <t>Статус</t>
        </is>
      </c>
      <c r="C13" s="24" t="inlineStr">
        <is>
          <t>Владелец реакции</t>
        </is>
      </c>
      <c r="D13" s="24" t="inlineStr">
        <is>
          <t>Передать в Блок 11?</t>
        </is>
      </c>
      <c r="E13" s="17" t="n"/>
      <c r="F13" s="25" t="inlineStr">
        <is>
          <t>Блок 10 не собирает все возможные метрики. Он оставляет 7 приборов управляемости и владельцев реакции.</t>
        </is>
      </c>
      <c r="G13" s="31" t="n"/>
      <c r="H13" s="32" t="n"/>
    </row>
    <row r="14">
      <c r="A14" s="19" t="inlineStr">
        <is>
          <t>Состояние ядра</t>
        </is>
      </c>
      <c r="B14" s="19">
        <f>'02_Приборы'!I4</f>
        <v/>
      </c>
      <c r="C14" s="19" t="inlineStr">
        <is>
          <t>CEO / куратор CLM</t>
        </is>
      </c>
      <c r="D14" s="19">
        <f>'02_Приборы'!J4</f>
        <v/>
      </c>
      <c r="E14" s="17" t="n"/>
      <c r="F14" s="25" t="inlineStr">
        <is>
          <t>Метрика без источника, владельца реакции и ритма обновления не считается элементом панели.</t>
        </is>
      </c>
      <c r="G14" s="31" t="n"/>
      <c r="H14" s="32" t="n"/>
    </row>
    <row r="15">
      <c r="A15" s="19" t="inlineStr">
        <is>
          <t>Роли и мандаты</t>
        </is>
      </c>
      <c r="B15" s="19">
        <f>'02_Приборы'!I5</f>
        <v/>
      </c>
      <c r="C15" s="19" t="inlineStr">
        <is>
          <t>CEO / владелец архитектуры ролей</t>
        </is>
      </c>
      <c r="D15" s="19">
        <f>'02_Приборы'!J5</f>
        <v/>
      </c>
      <c r="E15" s="17" t="n"/>
      <c r="F15" s="25" t="inlineStr">
        <is>
          <t>Критический сигнал передаётся в Блок 11 только если понятны причина, владелец, горизонт и проверяемый результат.</t>
        </is>
      </c>
      <c r="G15" s="31" t="n"/>
      <c r="H15" s="32" t="n"/>
    </row>
    <row r="16">
      <c r="A16" s="19" t="inlineStr">
        <is>
          <t>Решения</t>
        </is>
      </c>
      <c r="B16" s="19">
        <f>'02_Приборы'!I6</f>
        <v/>
      </c>
      <c r="C16" s="19" t="inlineStr">
        <is>
          <t>Владелец Decision OS / CEO / COO</t>
        </is>
      </c>
      <c r="D16" s="19">
        <f>'02_Приборы'!J6</f>
        <v/>
      </c>
      <c r="E16" s="17" t="n"/>
      <c r="F16" s="17" t="n"/>
      <c r="G16" s="17" t="n"/>
      <c r="H16" s="17" t="n"/>
    </row>
    <row r="17">
      <c r="A17" s="19" t="inlineStr">
        <is>
          <t>Данные</t>
        </is>
      </c>
      <c r="B17" s="19">
        <f>'02_Приборы'!I7</f>
        <v/>
      </c>
      <c r="C17" s="19" t="inlineStr">
        <is>
          <t>CFO / CIO / владелец данных</t>
        </is>
      </c>
      <c r="D17" s="19">
        <f>'02_Приборы'!J7</f>
        <v/>
      </c>
      <c r="E17" s="17" t="n"/>
      <c r="F17" s="17" t="n"/>
      <c r="G17" s="17" t="n"/>
      <c r="H17" s="17" t="n"/>
    </row>
    <row r="18">
      <c r="A18" s="19" t="inlineStr">
        <is>
          <t>Синхронизация</t>
        </is>
      </c>
      <c r="B18" s="19">
        <f>'02_Приборы'!I8</f>
        <v/>
      </c>
      <c r="C18" s="19" t="inlineStr">
        <is>
          <t>CEO / владелец интерфейса ролей</t>
        </is>
      </c>
      <c r="D18" s="19">
        <f>'02_Приборы'!J8</f>
        <v/>
      </c>
      <c r="E18" s="17" t="n"/>
      <c r="F18" s="17" t="n"/>
      <c r="G18" s="17" t="n"/>
      <c r="H18" s="17" t="n"/>
    </row>
    <row r="19">
      <c r="A19" s="19" t="inlineStr">
        <is>
          <t>Устойчивость</t>
        </is>
      </c>
      <c r="B19" s="19">
        <f>'02_Приборы'!I9</f>
        <v/>
      </c>
      <c r="C19" s="19" t="inlineStr">
        <is>
          <t>COO / владелец риска</t>
        </is>
      </c>
      <c r="D19" s="19">
        <f>'02_Приборы'!J9</f>
        <v/>
      </c>
      <c r="E19" s="17" t="n"/>
      <c r="F19" s="17" t="n"/>
      <c r="G19" s="17" t="n"/>
      <c r="H19" s="17" t="n"/>
    </row>
    <row r="20">
      <c r="A20" s="19" t="inlineStr">
        <is>
          <t>AI / ИИ-допуск</t>
        </is>
      </c>
      <c r="B20" s="19">
        <f>'02_Приборы'!I10</f>
        <v/>
      </c>
      <c r="C20" s="19" t="inlineStr">
        <is>
          <t>Владелец AI / ИИ-сценария</t>
        </is>
      </c>
      <c r="D20" s="19">
        <f>'02_Приборы'!J10</f>
        <v/>
      </c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28" t="inlineStr">
        <is>
          <t>Как пользоваться</t>
        </is>
      </c>
    </row>
    <row r="23">
      <c r="A23" s="19" t="inlineStr">
        <is>
          <t>1. Заполните 01_Ввод: входы из Блоков 3–9 и владельца панели.</t>
        </is>
      </c>
      <c r="B23" s="19" t="str"/>
      <c r="C23" s="19" t="str"/>
      <c r="D23" s="19" t="str"/>
      <c r="E23" s="19" t="str"/>
      <c r="F23" s="19" t="str"/>
      <c r="G23" s="19" t="str"/>
      <c r="H23" s="19" t="str"/>
    </row>
    <row r="24">
      <c r="A24" s="19" t="inlineStr">
        <is>
          <t>2. На 02_Приборы внесите значения 7 приборов, тренд, владельца реакции и факт.</t>
        </is>
      </c>
      <c r="B24" s="19" t="str"/>
      <c r="C24" s="19" t="str"/>
      <c r="D24" s="19" t="str"/>
      <c r="E24" s="19" t="str"/>
      <c r="F24" s="19" t="str"/>
      <c r="G24" s="19" t="str"/>
      <c r="H24" s="19" t="str"/>
    </row>
    <row r="25">
      <c r="A25" s="19" t="inlineStr">
        <is>
          <t>3. На 03_Сигналы сформируйте приоритеты, которые реально уйдут в Блок 11.</t>
        </is>
      </c>
      <c r="B25" s="19" t="str"/>
      <c r="C25" s="19" t="str"/>
      <c r="D25" s="19" t="str"/>
      <c r="E25" s="19" t="str"/>
      <c r="F25" s="19" t="str"/>
      <c r="G25" s="19" t="str"/>
      <c r="H25" s="19" t="str"/>
    </row>
    <row r="26">
      <c r="A26" s="19" t="inlineStr">
        <is>
          <t>4. 04_Расчет не заполняется вручную.</t>
        </is>
      </c>
      <c r="B26" s="19" t="str"/>
      <c r="C26" s="19" t="str"/>
      <c r="D26" s="19" t="str"/>
      <c r="E26" s="19" t="str"/>
      <c r="F26" s="19" t="str"/>
      <c r="G26" s="19" t="str"/>
      <c r="H26" s="19" t="str"/>
    </row>
    <row r="27">
      <c r="A27" s="19" t="inlineStr">
        <is>
          <t>5. 05_Отчет отделяет открытую панель от закрытого диагностического слоя.</t>
        </is>
      </c>
      <c r="B27" s="19" t="str"/>
      <c r="C27" s="19" t="str"/>
      <c r="D27" s="19" t="str"/>
      <c r="E27" s="19" t="str"/>
      <c r="F27" s="19" t="str"/>
      <c r="G27" s="19" t="str"/>
      <c r="H27" s="19" t="str"/>
    </row>
  </sheetData>
  <mergeCells count="7">
    <mergeCell ref="F14:H14"/>
    <mergeCell ref="F13:H13"/>
    <mergeCell ref="A12:D12"/>
    <mergeCell ref="F12:H12"/>
    <mergeCell ref="A1:H1"/>
    <mergeCell ref="F15:H15"/>
    <mergeCell ref="A22:H22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9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CLM Блок 10. Ввод панели управляемости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Поле</t>
        </is>
      </c>
      <c r="B3" s="18" t="inlineStr">
        <is>
          <t>Значение</t>
        </is>
      </c>
      <c r="C3" s="17" t="n"/>
      <c r="D3" s="17" t="n"/>
      <c r="E3" s="17" t="n"/>
      <c r="F3" s="17" t="n"/>
      <c r="G3" s="17" t="n"/>
      <c r="H3" s="17" t="n"/>
    </row>
    <row r="4">
      <c r="A4" s="19" t="inlineStr">
        <is>
          <t>Клиент</t>
        </is>
      </c>
      <c r="B4" s="29" t="str"/>
      <c r="C4" s="17" t="n"/>
      <c r="D4" s="17" t="n"/>
      <c r="E4" s="17" t="n"/>
      <c r="F4" s="17" t="n"/>
      <c r="G4" s="17" t="n"/>
      <c r="H4" s="17" t="n"/>
    </row>
    <row r="5">
      <c r="A5" s="19" t="inlineStr">
        <is>
          <t>Дата запуска</t>
        </is>
      </c>
      <c r="B5" s="30" t="str"/>
      <c r="C5" s="17" t="n"/>
      <c r="D5" s="17" t="n"/>
      <c r="E5" s="17" t="n"/>
      <c r="F5" s="17" t="n"/>
      <c r="G5" s="17" t="n"/>
      <c r="H5" s="17" t="n"/>
    </row>
    <row r="6">
      <c r="A6" s="19" t="inlineStr">
        <is>
          <t>Вывод из Блока 3: состояние C-level-ядра</t>
        </is>
      </c>
      <c r="B6" s="29" t="str"/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Вывод из Блока 4: роли и мандаты</t>
        </is>
      </c>
      <c r="B7" s="29" t="str"/>
      <c r="C7" s="17" t="n"/>
      <c r="D7" s="17" t="n"/>
      <c r="E7" s="17" t="n"/>
      <c r="F7" s="17" t="n"/>
      <c r="G7" s="17" t="n"/>
      <c r="H7" s="17" t="n"/>
    </row>
    <row r="8">
      <c r="A8" s="19" t="inlineStr">
        <is>
          <t>Вывод из Блока 5: решения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Вывод из Блока 6: синхронизация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Вывод из Блока 7: устойчивость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9" t="inlineStr">
        <is>
          <t>Вывод из Блока 8: лидерский переход</t>
        </is>
      </c>
      <c r="B11" s="29" t="str"/>
      <c r="C11" s="17" t="n"/>
      <c r="D11" s="17" t="n"/>
      <c r="E11" s="17" t="n"/>
      <c r="F11" s="17" t="n"/>
      <c r="G11" s="17" t="n"/>
      <c r="H11" s="17" t="n"/>
    </row>
    <row r="12">
      <c r="A12" s="19" t="inlineStr">
        <is>
          <t>Вывод из Блока 9: AI / ИИ-допуск</t>
        </is>
      </c>
      <c r="B12" s="29" t="str"/>
      <c r="C12" s="17" t="n"/>
      <c r="D12" s="17" t="n"/>
      <c r="E12" s="17" t="n"/>
      <c r="F12" s="17" t="n"/>
      <c r="G12" s="17" t="n"/>
      <c r="H12" s="17" t="n"/>
    </row>
    <row r="13">
      <c r="A13" s="19" t="inlineStr">
        <is>
          <t>Владелец панели</t>
        </is>
      </c>
      <c r="B13" s="29" t="str"/>
      <c r="C13" s="17" t="n"/>
      <c r="D13" s="17" t="n"/>
      <c r="E13" s="17" t="n"/>
      <c r="F13" s="17" t="n"/>
      <c r="G13" s="17" t="n"/>
      <c r="H13" s="17" t="n"/>
    </row>
    <row r="14">
      <c r="A14" s="19" t="inlineStr">
        <is>
          <t>Комментарий</t>
        </is>
      </c>
      <c r="B14" s="29" t="str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22" t="inlineStr">
        <is>
          <t>Правило заполнения</t>
        </is>
      </c>
      <c r="C16" s="17" t="n"/>
      <c r="D16" s="17" t="n"/>
      <c r="E16" s="17" t="n"/>
      <c r="F16" s="17" t="n"/>
      <c r="G16" s="17" t="n"/>
      <c r="H16" s="17" t="n"/>
    </row>
    <row r="17">
      <c r="A17" s="19" t="inlineStr">
        <is>
          <t>1</t>
        </is>
      </c>
      <c r="B17" s="19" t="inlineStr">
        <is>
          <t>Блок 10 не собирает все метрики. Он оставляет 7 приборов управляемости.</t>
        </is>
      </c>
      <c r="C17" s="17" t="n"/>
      <c r="D17" s="17" t="n"/>
      <c r="E17" s="17" t="n"/>
      <c r="F17" s="17" t="n"/>
      <c r="G17" s="17" t="n"/>
      <c r="H17" s="17" t="n"/>
    </row>
    <row r="18">
      <c r="A18" s="19" t="inlineStr">
        <is>
          <t>2</t>
        </is>
      </c>
      <c r="B18" s="19" t="inlineStr">
        <is>
          <t>Метрика допускается в панель только если есть источник, владелец реакции и ритм обновления.</t>
        </is>
      </c>
      <c r="C18" s="17" t="n"/>
      <c r="D18" s="17" t="n"/>
      <c r="E18" s="17" t="n"/>
      <c r="F18" s="17" t="n"/>
      <c r="G18" s="17" t="n"/>
      <c r="H18" s="17" t="n"/>
    </row>
    <row r="19">
      <c r="A19" s="19" t="inlineStr">
        <is>
          <t>3</t>
        </is>
      </c>
      <c r="B19" s="19" t="inlineStr">
        <is>
          <t>Открытая панель отделяется от закрытой диагностики.</t>
        </is>
      </c>
      <c r="C19" s="17" t="n"/>
      <c r="D19" s="17" t="n"/>
      <c r="E19" s="17" t="n"/>
      <c r="F19" s="17" t="n"/>
      <c r="G19" s="17" t="n"/>
      <c r="H19" s="17" t="n"/>
    </row>
    <row r="20">
      <c r="A20" s="19" t="inlineStr">
        <is>
          <t>4</t>
        </is>
      </c>
      <c r="B20" s="19" t="inlineStr">
        <is>
          <t>Критические сигналы передаются в Блок 11 как приоритеты дорожной карты.</t>
        </is>
      </c>
      <c r="C20" s="17" t="n"/>
      <c r="D20" s="17" t="n"/>
      <c r="E20" s="17" t="n"/>
      <c r="F20" s="17" t="n"/>
      <c r="G20" s="17" t="n"/>
      <c r="H20" s="17" t="n"/>
    </row>
  </sheetData>
  <mergeCells count="2">
    <mergeCell ref="A16:B16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38" customWidth="1" style="1" min="2" max="2"/>
    <col width="22" customWidth="1" style="1" min="3" max="3"/>
    <col width="14" customWidth="1" style="1" min="4" max="4"/>
    <col width="16" customWidth="1" style="1" min="5" max="5"/>
    <col width="34" customWidth="1" style="1" min="6" max="6"/>
    <col width="24" customWidth="1" style="1" min="7" max="7"/>
    <col width="40" customWidth="1" style="1" min="8" max="8"/>
    <col width="14" customWidth="1" style="1" min="9" max="9"/>
    <col width="18" customWidth="1" style="1" min="10" max="10"/>
  </cols>
  <sheetData>
    <row r="1">
      <c r="A1" s="16" t="inlineStr">
        <is>
          <t>7 приборов панели CLM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>
      <c r="A3" s="18" t="inlineStr">
        <is>
          <t>Прибор</t>
        </is>
      </c>
      <c r="B3" s="18" t="inlineStr">
        <is>
          <t>Сущность</t>
        </is>
      </c>
      <c r="C3" s="18" t="inlineStr">
        <is>
          <t>Источник</t>
        </is>
      </c>
      <c r="D3" s="18" t="inlineStr">
        <is>
          <t>Значение 0-100</t>
        </is>
      </c>
      <c r="E3" s="18" t="inlineStr">
        <is>
          <t>Тренд</t>
        </is>
      </c>
      <c r="F3" s="18" t="inlineStr">
        <is>
          <t>Владелец реакции</t>
        </is>
      </c>
      <c r="G3" s="18" t="inlineStr">
        <is>
          <t>Ритм</t>
        </is>
      </c>
      <c r="H3" s="18" t="inlineStr">
        <is>
          <t>Комментарий / факт</t>
        </is>
      </c>
      <c r="I3" s="18" t="inlineStr">
        <is>
          <t>Статус</t>
        </is>
      </c>
      <c r="J3" s="18" t="inlineStr">
        <is>
          <t>Передать в Блок 11?</t>
        </is>
      </c>
    </row>
    <row r="4">
      <c r="A4" s="19" t="inlineStr">
        <is>
          <t>Состояние ядра</t>
        </is>
      </c>
      <c r="B4" s="19" t="inlineStr">
        <is>
          <t>CSS / индекс согласованности C-suite</t>
        </is>
      </c>
      <c r="C4" s="19" t="inlineStr">
        <is>
          <t>Блок 3</t>
        </is>
      </c>
      <c r="D4" s="29" t="str"/>
      <c r="E4" s="29" t="str"/>
      <c r="F4" s="29" t="inlineStr">
        <is>
          <t>CEO / куратор CLM</t>
        </is>
      </c>
      <c r="G4" s="29" t="inlineStr">
        <is>
          <t>Ежемесячно</t>
        </is>
      </c>
      <c r="H4" s="29" t="str"/>
      <c r="I4" s="19">
        <f>IF(D4="","Не заполнено",IF(D4&gt;=75,"Норма",IF(D4&gt;=50,"Риск","Критично")))</f>
        <v/>
      </c>
      <c r="J4" s="19">
        <f>IF(OR(I4="Риск",I4="Критично"),"Да","Нет")</f>
        <v/>
      </c>
    </row>
    <row r="5">
      <c r="A5" s="19" t="inlineStr">
        <is>
          <t>Роли и мандаты</t>
        </is>
      </c>
      <c r="B5" s="19" t="inlineStr">
        <is>
          <t>Готовность ролей и мандатов</t>
        </is>
      </c>
      <c r="C5" s="19" t="inlineStr">
        <is>
          <t>Блок 4</t>
        </is>
      </c>
      <c r="D5" s="29" t="str"/>
      <c r="E5" s="29" t="str"/>
      <c r="F5" s="29" t="inlineStr">
        <is>
          <t>CEO / владелец архитектуры ролей</t>
        </is>
      </c>
      <c r="G5" s="29" t="inlineStr">
        <is>
          <t>Ежемесячно</t>
        </is>
      </c>
      <c r="H5" s="29" t="str"/>
      <c r="I5" s="19">
        <f>IF(D5="","Не заполнено",IF(D5&gt;=75,"Норма",IF(D5&gt;=50,"Риск","Критично")))</f>
        <v/>
      </c>
      <c r="J5" s="19">
        <f>IF(OR(I5="Риск",I5="Критично"),"Да","Нет")</f>
        <v/>
      </c>
    </row>
    <row r="6">
      <c r="A6" s="19" t="inlineStr">
        <is>
          <t>Решения</t>
        </is>
      </c>
      <c r="B6" s="19" t="inlineStr">
        <is>
          <t>DVI + Reopen Rate</t>
        </is>
      </c>
      <c r="C6" s="19" t="inlineStr">
        <is>
          <t>Блок 5</t>
        </is>
      </c>
      <c r="D6" s="29" t="str"/>
      <c r="E6" s="29" t="str"/>
      <c r="F6" s="29" t="inlineStr">
        <is>
          <t>Владелец Decision OS / CEO / COO</t>
        </is>
      </c>
      <c r="G6" s="29" t="inlineStr">
        <is>
          <t>Еженедельно</t>
        </is>
      </c>
      <c r="H6" s="29" t="str"/>
      <c r="I6" s="19">
        <f>IF(D6="","Не заполнено",IF(D6&gt;=75,"Норма",IF(D6&gt;=50,"Риск","Критично")))</f>
        <v/>
      </c>
      <c r="J6" s="19">
        <f>IF(OR(I6="Риск",I6="Критично"),"Да","Нет")</f>
        <v/>
      </c>
    </row>
    <row r="7">
      <c r="A7" s="19" t="inlineStr">
        <is>
          <t>Данные</t>
        </is>
      </c>
      <c r="B7" s="19" t="inlineStr">
        <is>
          <t>IR / индекс готовности данных</t>
        </is>
      </c>
      <c r="C7" s="19" t="inlineStr">
        <is>
          <t>Блоки 3, 5, 9</t>
        </is>
      </c>
      <c r="D7" s="29" t="str"/>
      <c r="E7" s="29" t="str"/>
      <c r="F7" s="29" t="inlineStr">
        <is>
          <t>CFO / CIO / владелец данных</t>
        </is>
      </c>
      <c r="G7" s="29" t="inlineStr">
        <is>
          <t>Ежемесячно</t>
        </is>
      </c>
      <c r="H7" s="29" t="str"/>
      <c r="I7" s="19">
        <f>IF(D7="","Не заполнено",IF(D7&gt;=75,"Норма",IF(D7&gt;=50,"Риск","Критично")))</f>
        <v/>
      </c>
      <c r="J7" s="19">
        <f>IF(OR(I7="Риск",I7="Критично"),"Да","Нет")</f>
        <v/>
      </c>
    </row>
    <row r="8">
      <c r="A8" s="19" t="inlineStr">
        <is>
          <t>Синхронизация</t>
        </is>
      </c>
      <c r="B8" s="19" t="inlineStr">
        <is>
          <t>RC / согласованность ролей</t>
        </is>
      </c>
      <c r="C8" s="19" t="inlineStr">
        <is>
          <t>Блок 6</t>
        </is>
      </c>
      <c r="D8" s="29" t="str"/>
      <c r="E8" s="29" t="str"/>
      <c r="F8" s="29" t="inlineStr">
        <is>
          <t>CEO / владелец интерфейса ролей</t>
        </is>
      </c>
      <c r="G8" s="29" t="inlineStr">
        <is>
          <t>Ежемесячно</t>
        </is>
      </c>
      <c r="H8" s="29" t="str"/>
      <c r="I8" s="19">
        <f>IF(D8="","Не заполнено",IF(D8&gt;=75,"Норма",IF(D8&gt;=50,"Риск","Критично")))</f>
        <v/>
      </c>
      <c r="J8" s="19">
        <f>IF(OR(I8="Риск",I8="Критично"),"Да","Нет")</f>
        <v/>
      </c>
    </row>
    <row r="9">
      <c r="A9" s="19" t="inlineStr">
        <is>
          <t>Устойчивость</t>
        </is>
      </c>
      <c r="B9" s="19" t="inlineStr">
        <is>
          <t>RSI / устойчивость и восстановление</t>
        </is>
      </c>
      <c r="C9" s="19" t="inlineStr">
        <is>
          <t>Блок 7</t>
        </is>
      </c>
      <c r="D9" s="29" t="str"/>
      <c r="E9" s="29" t="str"/>
      <c r="F9" s="29" t="inlineStr">
        <is>
          <t>COO / владелец риска</t>
        </is>
      </c>
      <c r="G9" s="29" t="inlineStr">
        <is>
          <t>Ежеквартально / по событию</t>
        </is>
      </c>
      <c r="H9" s="29" t="str"/>
      <c r="I9" s="19">
        <f>IF(D9="","Не заполнено",IF(D9&gt;=75,"Норма",IF(D9&gt;=50,"Риск","Критично")))</f>
        <v/>
      </c>
      <c r="J9" s="19">
        <f>IF(OR(I9="Риск",I9="Критично"),"Да","Нет")</f>
        <v/>
      </c>
    </row>
    <row r="10">
      <c r="A10" s="19" t="inlineStr">
        <is>
          <t>AI / ИИ-допуск</t>
        </is>
      </c>
      <c r="B10" s="19" t="inlineStr">
        <is>
          <t>GO / HOLD / NO-GO AI / ИИ-сценариев</t>
        </is>
      </c>
      <c r="C10" s="19" t="inlineStr">
        <is>
          <t>Блок 9</t>
        </is>
      </c>
      <c r="D10" s="29" t="str"/>
      <c r="E10" s="29" t="str"/>
      <c r="F10" s="29" t="inlineStr">
        <is>
          <t>Владелец AI / ИИ-сценария</t>
        </is>
      </c>
      <c r="G10" s="29" t="inlineStr">
        <is>
          <t>Еженедельно / по сценарию</t>
        </is>
      </c>
      <c r="H10" s="29" t="str"/>
      <c r="I10" s="19">
        <f>IF(D10="","Не заполнено",IF(D10&gt;=75,"Норма",IF(D10&gt;=50,"Риск","Критично")))</f>
        <v/>
      </c>
      <c r="J10" s="19">
        <f>IF(OR(I10="Риск",I10="Критично"),"Да","Нет")</f>
        <v/>
      </c>
    </row>
  </sheetData>
  <mergeCells count="1">
    <mergeCell ref="A1:J1"/>
  </mergeCells>
  <dataValidations count="2">
    <dataValidation sqref="D4:D10" showDropDown="0" showInputMessage="0" showErrorMessage="0" allowBlank="0" type="whole" operator="between">
      <formula1>0</formula1>
      <formula2>100</formula2>
    </dataValidation>
    <dataValidation sqref="E4:E10" showDropDown="0" showInputMessage="0" showErrorMessage="0" allowBlank="0" type="list">
      <formula1>"Улучшается,Стабильно,Ухудшается"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28" customWidth="1" style="1" min="2" max="2"/>
    <col width="34" customWidth="1" style="1" min="3" max="3"/>
    <col width="40" customWidth="1" style="1" min="4" max="4"/>
    <col width="30" customWidth="1" style="1" min="5" max="5"/>
    <col width="14" customWidth="1" style="1" min="6" max="6"/>
    <col width="34" customWidth="1" style="1" min="7" max="7"/>
    <col width="22" customWidth="1" style="1" min="8" max="8"/>
    <col width="14" customWidth="1" style="1" min="9" max="9"/>
    <col width="18" customWidth="1" style="1" min="10" max="10"/>
  </cols>
  <sheetData>
    <row r="1">
      <c r="A1" s="16" t="inlineStr">
        <is>
          <t>Сигналы и передача в Блок 11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>
      <c r="A3" s="18" t="inlineStr">
        <is>
          <t>Приоритет</t>
        </is>
      </c>
      <c r="B3" s="18" t="inlineStr">
        <is>
          <t>Прибор</t>
        </is>
      </c>
      <c r="C3" s="18" t="inlineStr">
        <is>
          <t>Сигнал</t>
        </is>
      </c>
      <c r="D3" s="18" t="inlineStr">
        <is>
          <t>Причина</t>
        </is>
      </c>
      <c r="E3" s="18" t="inlineStr">
        <is>
          <t>Владелец реакции</t>
        </is>
      </c>
      <c r="F3" s="18" t="inlineStr">
        <is>
          <t>Горизонт</t>
        </is>
      </c>
      <c r="G3" s="18" t="inlineStr">
        <is>
          <t>Проверяемый результат</t>
        </is>
      </c>
      <c r="H3" s="18" t="inlineStr">
        <is>
          <t>Видимость</t>
        </is>
      </c>
      <c r="I3" s="18" t="inlineStr">
        <is>
          <t>Готовность 0-3</t>
        </is>
      </c>
      <c r="J3" s="18" t="inlineStr">
        <is>
          <t>Статус передачи</t>
        </is>
      </c>
    </row>
    <row r="4">
      <c r="A4" s="19" t="n">
        <v>1</v>
      </c>
      <c r="B4" s="29" t="str"/>
      <c r="C4" s="29" t="str"/>
      <c r="D4" s="29" t="str"/>
      <c r="E4" s="29" t="str"/>
      <c r="F4" s="29" t="str"/>
      <c r="G4" s="29" t="str"/>
      <c r="H4" s="29" t="str"/>
      <c r="I4" s="29" t="str"/>
      <c r="J4" s="19">
        <f>IF(B4="","",IF(I4&gt;=2,"Готово к Блоку 11","Доработать"))</f>
        <v/>
      </c>
    </row>
    <row r="5">
      <c r="A5" s="19" t="n">
        <v>2</v>
      </c>
      <c r="B5" s="29" t="str"/>
      <c r="C5" s="29" t="str"/>
      <c r="D5" s="29" t="str"/>
      <c r="E5" s="29" t="str"/>
      <c r="F5" s="29" t="str"/>
      <c r="G5" s="29" t="str"/>
      <c r="H5" s="29" t="str"/>
      <c r="I5" s="29" t="str"/>
      <c r="J5" s="19">
        <f>IF(B5="","",IF(I5&gt;=2,"Готово к Блоку 11","Доработать"))</f>
        <v/>
      </c>
    </row>
    <row r="6">
      <c r="A6" s="19" t="n">
        <v>3</v>
      </c>
      <c r="B6" s="29" t="str"/>
      <c r="C6" s="29" t="str"/>
      <c r="D6" s="29" t="str"/>
      <c r="E6" s="29" t="str"/>
      <c r="F6" s="29" t="str"/>
      <c r="G6" s="29" t="str"/>
      <c r="H6" s="29" t="str"/>
      <c r="I6" s="29" t="str"/>
      <c r="J6" s="19">
        <f>IF(B6="","",IF(I6&gt;=2,"Готово к Блоку 11","Доработать"))</f>
        <v/>
      </c>
    </row>
    <row r="7">
      <c r="A7" s="19" t="n">
        <v>4</v>
      </c>
      <c r="B7" s="29" t="str"/>
      <c r="C7" s="29" t="str"/>
      <c r="D7" s="29" t="str"/>
      <c r="E7" s="29" t="str"/>
      <c r="F7" s="29" t="str"/>
      <c r="G7" s="29" t="str"/>
      <c r="H7" s="29" t="str"/>
      <c r="I7" s="29" t="str"/>
      <c r="J7" s="19">
        <f>IF(B7="","",IF(I7&gt;=2,"Готово к Блоку 11","Доработать"))</f>
        <v/>
      </c>
    </row>
    <row r="8">
      <c r="A8" s="19" t="n">
        <v>5</v>
      </c>
      <c r="B8" s="29" t="str"/>
      <c r="C8" s="29" t="str"/>
      <c r="D8" s="29" t="str"/>
      <c r="E8" s="29" t="str"/>
      <c r="F8" s="29" t="str"/>
      <c r="G8" s="29" t="str"/>
      <c r="H8" s="29" t="str"/>
      <c r="I8" s="29" t="str"/>
      <c r="J8" s="19">
        <f>IF(B8="","",IF(I8&gt;=2,"Готово к Блоку 11","Доработать"))</f>
        <v/>
      </c>
    </row>
    <row r="9">
      <c r="A9" s="19" t="n">
        <v>6</v>
      </c>
      <c r="B9" s="29" t="str"/>
      <c r="C9" s="29" t="str"/>
      <c r="D9" s="29" t="str"/>
      <c r="E9" s="29" t="str"/>
      <c r="F9" s="29" t="str"/>
      <c r="G9" s="29" t="str"/>
      <c r="H9" s="29" t="str"/>
      <c r="I9" s="29" t="str"/>
      <c r="J9" s="19">
        <f>IF(B9="","",IF(I9&gt;=2,"Готово к Блоку 11","Доработать"))</f>
        <v/>
      </c>
    </row>
    <row r="10">
      <c r="A10" s="19" t="n">
        <v>7</v>
      </c>
      <c r="B10" s="29" t="str"/>
      <c r="C10" s="29" t="str"/>
      <c r="D10" s="29" t="str"/>
      <c r="E10" s="29" t="str"/>
      <c r="F10" s="29" t="str"/>
      <c r="G10" s="29" t="str"/>
      <c r="H10" s="29" t="str"/>
      <c r="I10" s="29" t="str"/>
      <c r="J10" s="19">
        <f>IF(B10="","",IF(I10&gt;=2,"Готово к Блоку 11","Доработать"))</f>
        <v/>
      </c>
    </row>
    <row r="11">
      <c r="A11" s="19" t="n">
        <v>8</v>
      </c>
      <c r="B11" s="29" t="str"/>
      <c r="C11" s="29" t="str"/>
      <c r="D11" s="29" t="str"/>
      <c r="E11" s="29" t="str"/>
      <c r="F11" s="29" t="str"/>
      <c r="G11" s="29" t="str"/>
      <c r="H11" s="29" t="str"/>
      <c r="I11" s="29" t="str"/>
      <c r="J11" s="19">
        <f>IF(B11="","",IF(I11&gt;=2,"Готово к Блоку 11","Доработать"))</f>
        <v/>
      </c>
    </row>
    <row r="12">
      <c r="A12" s="19" t="n">
        <v>9</v>
      </c>
      <c r="B12" s="29" t="str"/>
      <c r="C12" s="29" t="str"/>
      <c r="D12" s="29" t="str"/>
      <c r="E12" s="29" t="str"/>
      <c r="F12" s="29" t="str"/>
      <c r="G12" s="29" t="str"/>
      <c r="H12" s="29" t="str"/>
      <c r="I12" s="29" t="str"/>
      <c r="J12" s="19">
        <f>IF(B12="","",IF(I12&gt;=2,"Готово к Блоку 11","Доработать"))</f>
        <v/>
      </c>
    </row>
    <row r="13">
      <c r="A13" s="19" t="n">
        <v>10</v>
      </c>
      <c r="B13" s="29" t="str"/>
      <c r="C13" s="29" t="str"/>
      <c r="D13" s="29" t="str"/>
      <c r="E13" s="29" t="str"/>
      <c r="F13" s="29" t="str"/>
      <c r="G13" s="29" t="str"/>
      <c r="H13" s="29" t="str"/>
      <c r="I13" s="29" t="str"/>
      <c r="J13" s="19">
        <f>IF(B13="","",IF(I13&gt;=2,"Готово к Блоку 11","Доработать"))</f>
        <v/>
      </c>
    </row>
  </sheetData>
  <mergeCells count="1">
    <mergeCell ref="A1:J1"/>
  </mergeCells>
  <dataValidations count="4">
    <dataValidation sqref="B4:B13" showDropDown="0" showInputMessage="0" showErrorMessage="0" allowBlank="0" type="list">
      <formula1>"Состояние ядра,Роли и мандаты,Решения,Данные,Синхронизация,Устойчивость,AI / ИИ-допуск"</formula1>
    </dataValidation>
    <dataValidation sqref="F4:F13" showDropDown="0" showInputMessage="0" showErrorMessage="0" allowBlank="0" type="list">
      <formula1>"30 дней,60 дней,90 дней,По событию"</formula1>
    </dataValidation>
    <dataValidation sqref="H4:H13" showDropDown="0" showInputMessage="0" showErrorMessage="0" allowBlank="0" type="list">
      <formula1>"Открытая панель,Закрытый слой,Архив доказательств"</formula1>
    </dataValidation>
    <dataValidation sqref="I4:I13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6" t="inlineStr">
        <is>
          <t>Расчёт панели управляемости</t>
        </is>
      </c>
      <c r="F1" s="16" t="n"/>
      <c r="G1" s="16" t="n"/>
      <c r="H1" s="16" t="n"/>
      <c r="I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Источник</t>
        </is>
      </c>
      <c r="E3" s="18" t="inlineStr">
        <is>
          <t>Комментарий</t>
        </is>
      </c>
      <c r="F3" s="17" t="n"/>
      <c r="G3" s="23" t="inlineStr">
        <is>
          <t>Как читать расчет</t>
        </is>
      </c>
    </row>
    <row r="4">
      <c r="A4" s="19" t="inlineStr">
        <is>
          <t>Заполненность приборов</t>
        </is>
      </c>
      <c r="B4" s="20">
        <f>IFERROR(COUNT('02_Приборы'!D4:D10)/7,0)</f>
        <v/>
      </c>
      <c r="C4" s="19" t="inlineStr">
        <is>
          <t>100%</t>
        </is>
      </c>
      <c r="D4" s="19" t="inlineStr">
        <is>
          <t>02_Приборы</t>
        </is>
      </c>
      <c r="E4" s="19" t="str"/>
      <c r="F4" s="17" t="n"/>
      <c r="G4" s="25" t="inlineStr">
        <is>
          <t>Dashboard Readiness Score показывает, готова ли панель быть управленческим экраном, а не справочным отчетом.</t>
        </is>
      </c>
      <c r="H4" s="31" t="n"/>
      <c r="I4" s="32" t="n"/>
    </row>
    <row r="5">
      <c r="A5" s="19" t="inlineStr">
        <is>
          <t>Среднее состояние панели</t>
        </is>
      </c>
      <c r="B5" s="19">
        <f>IFERROR(AVERAGE('02_Приборы'!D4:D10),"")</f>
        <v/>
      </c>
      <c r="C5" s="19" t="inlineStr">
        <is>
          <t>75+</t>
        </is>
      </c>
      <c r="D5" s="19" t="inlineStr">
        <is>
          <t>02_Приборы</t>
        </is>
      </c>
      <c r="E5" s="19" t="str"/>
      <c r="F5" s="17" t="n"/>
      <c r="G5" s="25" t="inlineStr">
        <is>
          <t>Критичные приборы и отсутствие готовых приоритетов для Блока 11 снижают итоговый статус.</t>
        </is>
      </c>
      <c r="H5" s="31" t="n"/>
      <c r="I5" s="32" t="n"/>
    </row>
    <row r="6">
      <c r="A6" s="19" t="inlineStr">
        <is>
          <t>Приборов в норме</t>
        </is>
      </c>
      <c r="B6" s="19">
        <f>COUNTIF('02_Приборы'!I4:I10,"Норма")</f>
        <v/>
      </c>
      <c r="C6" s="19" t="inlineStr">
        <is>
          <t>5+</t>
        </is>
      </c>
      <c r="D6" s="19" t="inlineStr">
        <is>
          <t>02_Приборы</t>
        </is>
      </c>
      <c r="E6" s="19" t="str"/>
      <c r="F6" s="17" t="n"/>
      <c r="G6" s="17" t="n"/>
      <c r="H6" s="17" t="n"/>
      <c r="I6" s="17" t="n"/>
    </row>
    <row r="7">
      <c r="A7" s="19" t="inlineStr">
        <is>
          <t>Приборов в риске</t>
        </is>
      </c>
      <c r="B7" s="19">
        <f>COUNTIF('02_Приборы'!I4:I10,"Риск")</f>
        <v/>
      </c>
      <c r="C7" s="19" t="inlineStr">
        <is>
          <t>контроль</t>
        </is>
      </c>
      <c r="D7" s="19" t="inlineStr">
        <is>
          <t>02_Приборы</t>
        </is>
      </c>
      <c r="E7" s="19" t="str"/>
      <c r="F7" s="17" t="n"/>
      <c r="G7" s="17" t="n"/>
      <c r="H7" s="17" t="n"/>
      <c r="I7" s="17" t="n"/>
    </row>
    <row r="8">
      <c r="A8" s="19" t="inlineStr">
        <is>
          <t>Критичных приборов</t>
        </is>
      </c>
      <c r="B8" s="19">
        <f>COUNTIF('02_Приборы'!I4:I10,"Критично")</f>
        <v/>
      </c>
      <c r="C8" s="19" t="inlineStr">
        <is>
          <t>0</t>
        </is>
      </c>
      <c r="D8" s="19" t="inlineStr">
        <is>
          <t>02_Приборы</t>
        </is>
      </c>
      <c r="E8" s="19" t="str"/>
      <c r="F8" s="17" t="n"/>
      <c r="G8" s="17" t="n"/>
      <c r="H8" s="17" t="n"/>
      <c r="I8" s="17" t="n"/>
    </row>
    <row r="9">
      <c r="A9" s="19" t="inlineStr">
        <is>
          <t>Приоритетов для Блока 11</t>
        </is>
      </c>
      <c r="B9" s="19">
        <f>COUNTIF('02_Приборы'!J4:J10,"Да")</f>
        <v/>
      </c>
      <c r="C9" s="19" t="inlineStr">
        <is>
          <t>1-7</t>
        </is>
      </c>
      <c r="D9" s="19" t="inlineStr">
        <is>
          <t>03_Сигналы</t>
        </is>
      </c>
      <c r="E9" s="19" t="str"/>
      <c r="F9" s="17" t="n"/>
      <c r="G9" s="17" t="n"/>
      <c r="H9" s="17" t="n"/>
      <c r="I9" s="17" t="n"/>
    </row>
    <row r="10">
      <c r="A10" s="19" t="inlineStr">
        <is>
          <t>Готовых передач в Блок 11</t>
        </is>
      </c>
      <c r="B10" s="19">
        <f>COUNTIF('03_Сигналы'!J4:J13,"Готово к Блоку 11")</f>
        <v/>
      </c>
      <c r="C10" s="19" t="inlineStr">
        <is>
          <t>по факту</t>
        </is>
      </c>
      <c r="D10" s="19" t="inlineStr">
        <is>
          <t>03_Сигналы</t>
        </is>
      </c>
      <c r="E10" s="19" t="str"/>
      <c r="F10" s="17" t="n"/>
      <c r="G10" s="17" t="n"/>
      <c r="H10" s="17" t="n"/>
      <c r="I10" s="17" t="n"/>
    </row>
    <row r="11">
      <c r="A11" s="19" t="inlineStr">
        <is>
          <t>Dashboard Readiness Score</t>
        </is>
      </c>
      <c r="B11" s="21">
        <f>IF(B4&lt;1,"",ROUND(B5-IF(B8&gt;0,10,0)-IF(B10=0,5,0),0))</f>
        <v/>
      </c>
      <c r="C11" s="19" t="inlineStr">
        <is>
          <t>75+</t>
        </is>
      </c>
      <c r="D11" s="19" t="inlineStr">
        <is>
          <t>Сводный показатель</t>
        </is>
      </c>
      <c r="E11" s="19" t="str"/>
      <c r="F11" s="17" t="n"/>
      <c r="G11" s="17" t="n"/>
      <c r="H11" s="17" t="n"/>
      <c r="I11" s="17" t="n"/>
    </row>
    <row r="12">
      <c r="A12" s="19" t="inlineStr">
        <is>
          <t>Статус</t>
        </is>
      </c>
      <c r="B12" s="19">
        <f>IF(B11="","",IF(B11&gt;=75,"GO / запускать",IF(B11&gt;=50,"HOLD / пауза","NO-GO / остановить")))</f>
        <v/>
      </c>
      <c r="C12" s="19" t="inlineStr">
        <is>
          <t>GO / HOLD / NO-GO</t>
        </is>
      </c>
      <c r="D12" s="19" t="inlineStr">
        <is>
          <t>Порог Score</t>
        </is>
      </c>
      <c r="E12" s="19" t="str"/>
      <c r="F12" s="17" t="n"/>
      <c r="G12" s="17" t="n"/>
      <c r="H12" s="17" t="n"/>
      <c r="I12" s="17" t="n"/>
    </row>
    <row r="13">
      <c r="A13" s="19" t="inlineStr">
        <is>
          <t>Главный риск</t>
        </is>
      </c>
      <c r="B13" s="19">
        <f>IF(B11="","Недостаточно данных",IF(B8&gt;0,"Есть критичные приборы панели",IF(B10=0,"Нет готовых приоритетов для Блока 11",IF(B7&gt;0,"Есть зоны риска","Панель управляемости готова"))))</f>
        <v/>
      </c>
      <c r="C13" s="19" t="inlineStr">
        <is>
          <t>Автовывод</t>
        </is>
      </c>
      <c r="D13" s="19" t="inlineStr">
        <is>
          <t>Score + критичные зоны</t>
        </is>
      </c>
      <c r="E13" s="19" t="str"/>
      <c r="F13" s="17" t="n"/>
      <c r="G13" s="17" t="n"/>
      <c r="H13" s="17" t="n"/>
      <c r="I13" s="17" t="n"/>
    </row>
    <row r="14">
      <c r="A14" s="19" t="inlineStr">
        <is>
          <t>Рекомендуемый следующий блок</t>
        </is>
      </c>
      <c r="B14" s="19">
        <f>'05_Отчет'!B9</f>
        <v/>
      </c>
      <c r="C14" s="19" t="inlineStr">
        <is>
          <t>Ручной выбор</t>
        </is>
      </c>
      <c r="D14" s="19" t="inlineStr">
        <is>
          <t>05_Отчет</t>
        </is>
      </c>
      <c r="E14" s="19" t="str"/>
      <c r="F14" s="17" t="n"/>
      <c r="G14" s="17" t="n"/>
      <c r="H14" s="17" t="n"/>
      <c r="I14" s="17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8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Отчёт Блока 10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24" t="inlineStr">
        <is>
          <t>Поле</t>
        </is>
      </c>
      <c r="B3" s="24" t="inlineStr">
        <is>
          <t>Вывод</t>
        </is>
      </c>
      <c r="C3" s="17" t="n"/>
      <c r="D3" s="17" t="n"/>
      <c r="E3" s="17" t="n"/>
      <c r="F3" s="23" t="inlineStr">
        <is>
          <t>Формула вывода</t>
        </is>
      </c>
    </row>
    <row r="4">
      <c r="A4" s="19" t="inlineStr">
        <is>
          <t>Клиент</t>
        </is>
      </c>
      <c r="B4" s="19">
        <f>IF('01_Ввод'!B4="","",'01_Ввод'!B4)</f>
        <v/>
      </c>
      <c r="C4" s="17" t="n"/>
      <c r="D4" s="17" t="n"/>
      <c r="E4" s="17" t="n"/>
      <c r="F4" s="25" t="inlineStr">
        <is>
          <t>7 приборов → статус → владелец реакции → сигнал → приоритет Блока 11.</t>
        </is>
      </c>
      <c r="G4" s="31" t="n"/>
      <c r="H4" s="32" t="n"/>
    </row>
    <row r="5">
      <c r="A5" s="19" t="inlineStr">
        <is>
          <t>Dashboard Readiness Score</t>
        </is>
      </c>
      <c r="B5" s="21">
        <f>'04_Расчет'!B11</f>
        <v/>
      </c>
      <c r="C5" s="17" t="n"/>
      <c r="D5" s="17" t="n"/>
      <c r="E5" s="17" t="n"/>
      <c r="F5" s="17" t="n"/>
      <c r="G5" s="17" t="n"/>
      <c r="H5" s="17" t="n"/>
    </row>
    <row r="6">
      <c r="A6" s="19" t="inlineStr">
        <is>
          <t>Статус</t>
        </is>
      </c>
      <c r="B6" s="19">
        <f>'04_Расчет'!B12</f>
        <v/>
      </c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Главный риск</t>
        </is>
      </c>
      <c r="B7" s="19">
        <f>'04_Расчет'!B13</f>
        <v/>
      </c>
      <c r="C7" s="17" t="n"/>
      <c r="D7" s="17" t="n"/>
      <c r="E7" s="17" t="n"/>
      <c r="F7" s="17" t="n"/>
      <c r="G7" s="17" t="n"/>
      <c r="H7" s="17" t="n"/>
    </row>
    <row r="8">
      <c r="A8" s="19" t="inlineStr">
        <is>
          <t>Рекомендуемый следующий блок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Комментарий консультанта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Первое действие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Решение для 4 сторон</t>
        </is>
      </c>
      <c r="E12" s="17" t="n"/>
      <c r="F12" s="17" t="n"/>
      <c r="G12" s="17" t="n"/>
      <c r="H12" s="17" t="n"/>
    </row>
    <row r="13">
      <c r="A13" s="18" t="inlineStr">
        <is>
          <t>Сторона</t>
        </is>
      </c>
      <c r="B13" s="18" t="inlineStr">
        <is>
          <t>Что показать</t>
        </is>
      </c>
      <c r="C13" s="18" t="inlineStr">
        <is>
          <t>Что не включать</t>
        </is>
      </c>
      <c r="D13" s="18" t="inlineStr">
        <is>
          <t>Решение</t>
        </is>
      </c>
      <c r="E13" s="17" t="n"/>
      <c r="F13" s="17" t="n"/>
      <c r="G13" s="17" t="n"/>
      <c r="H13" s="17" t="n"/>
    </row>
    <row r="14">
      <c r="A14" s="19" t="inlineStr">
        <is>
          <t>CEO / генеральный директор</t>
        </is>
      </c>
      <c r="B14" s="19" t="inlineStr">
        <is>
          <t>Короткий экран: где управляемость проседает и кто реагирует</t>
        </is>
      </c>
      <c r="C14" s="19" t="inlineStr">
        <is>
          <t>Все частные метрики и персональные оценки</t>
        </is>
      </c>
      <c r="D14" s="29" t="str"/>
      <c r="E14" s="17" t="n"/>
      <c r="F14" s="17" t="n"/>
      <c r="G14" s="17" t="n"/>
      <c r="H14" s="17" t="n"/>
    </row>
    <row r="15">
      <c r="A15" s="19" t="inlineStr">
        <is>
          <t>C-level-команда / первый управленческий круг</t>
        </is>
      </c>
      <c r="B15" s="19" t="inlineStr">
        <is>
          <t>Общую версию фактов, статус 7 приборов и владельцев реакции</t>
        </is>
      </c>
      <c r="C15" s="19" t="inlineStr">
        <is>
          <t>Закрытый диагностический слой</t>
        </is>
      </c>
      <c r="D15" s="29" t="str"/>
      <c r="E15" s="17" t="n"/>
      <c r="F15" s="17" t="n"/>
      <c r="G15" s="17" t="n"/>
      <c r="H15" s="17" t="n"/>
    </row>
    <row r="16">
      <c r="A16" s="19" t="inlineStr">
        <is>
          <t>Владелец компании</t>
        </is>
      </c>
      <c r="B16" s="19" t="inlineStr">
        <is>
          <t>Критические сигналы верхнего контура и динамику вмешательств</t>
        </is>
      </c>
      <c r="C16" s="19" t="inlineStr">
        <is>
          <t>Операционные детали без системного риска</t>
        </is>
      </c>
      <c r="D16" s="29" t="str"/>
      <c r="E16" s="17" t="n"/>
      <c r="F16" s="17" t="n"/>
      <c r="G16" s="17" t="n"/>
      <c r="H16" s="17" t="n"/>
    </row>
    <row r="17">
      <c r="A17" s="19" t="inlineStr">
        <is>
          <t>Board / совет директоров</t>
        </is>
      </c>
      <c r="B17" s="19" t="inlineStr">
        <is>
          <t>Сводный статус, критические сигналы и передачу в Блок 11</t>
        </is>
      </c>
      <c r="C17" s="19" t="inlineStr">
        <is>
          <t>Непроверенные или чувствительные персональные выводы</t>
        </is>
      </c>
      <c r="D17" s="29" t="str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22" t="inlineStr">
        <is>
          <t>Передача в Блок 11</t>
        </is>
      </c>
      <c r="E19" s="17" t="n"/>
      <c r="F19" s="17" t="n"/>
      <c r="G19" s="17" t="n"/>
      <c r="H19" s="17" t="n"/>
    </row>
    <row r="20">
      <c r="A20" s="18" t="inlineStr">
        <is>
          <t>Приоритет</t>
        </is>
      </c>
      <c r="B20" s="18" t="inlineStr">
        <is>
          <t>Сигнал</t>
        </is>
      </c>
      <c r="C20" s="18" t="inlineStr">
        <is>
          <t>Владелец</t>
        </is>
      </c>
      <c r="D20" s="18" t="inlineStr">
        <is>
          <t>Горизонт</t>
        </is>
      </c>
      <c r="E20" s="17" t="n"/>
      <c r="F20" s="17" t="n"/>
      <c r="G20" s="17" t="n"/>
      <c r="H20" s="17" t="n"/>
    </row>
    <row r="21">
      <c r="A21" s="19" t="n">
        <v>1</v>
      </c>
      <c r="B21" s="29" t="str"/>
      <c r="C21" s="29" t="str"/>
      <c r="D21" s="29" t="str"/>
      <c r="E21" s="17" t="n"/>
      <c r="F21" s="17" t="n"/>
      <c r="G21" s="17" t="n"/>
      <c r="H21" s="17" t="n"/>
    </row>
    <row r="22">
      <c r="A22" s="19" t="n">
        <v>2</v>
      </c>
      <c r="B22" s="29" t="str"/>
      <c r="C22" s="29" t="str"/>
      <c r="D22" s="29" t="str"/>
      <c r="E22" s="17" t="n"/>
      <c r="F22" s="17" t="n"/>
      <c r="G22" s="17" t="n"/>
      <c r="H22" s="17" t="n"/>
    </row>
    <row r="23">
      <c r="A23" s="19" t="n">
        <v>3</v>
      </c>
      <c r="B23" s="29" t="str"/>
      <c r="C23" s="29" t="str"/>
      <c r="D23" s="29" t="str"/>
      <c r="E23" s="17" t="n"/>
      <c r="F23" s="17" t="n"/>
      <c r="G23" s="17" t="n"/>
      <c r="H23" s="17" t="n"/>
    </row>
    <row r="24">
      <c r="A24" s="19" t="n">
        <v>4</v>
      </c>
      <c r="B24" s="29" t="str"/>
      <c r="C24" s="29" t="str"/>
      <c r="D24" s="29" t="str"/>
      <c r="E24" s="17" t="n"/>
      <c r="F24" s="17" t="n"/>
      <c r="G24" s="17" t="n"/>
      <c r="H24" s="17" t="n"/>
    </row>
    <row r="25">
      <c r="A25" s="19" t="n">
        <v>5</v>
      </c>
      <c r="B25" s="29" t="str"/>
      <c r="C25" s="29" t="str"/>
      <c r="D25" s="29" t="str"/>
      <c r="E25" s="17" t="n"/>
      <c r="F25" s="17" t="n"/>
      <c r="G25" s="17" t="n"/>
      <c r="H25" s="17" t="n"/>
    </row>
    <row r="26">
      <c r="A26" s="19" t="n">
        <v>6</v>
      </c>
      <c r="B26" s="29" t="str"/>
      <c r="C26" s="29" t="str"/>
      <c r="D26" s="29" t="str"/>
      <c r="E26" s="17" t="n"/>
      <c r="F26" s="17" t="n"/>
      <c r="G26" s="17" t="n"/>
      <c r="H26" s="17" t="n"/>
    </row>
    <row r="27">
      <c r="A27" s="19" t="n">
        <v>7</v>
      </c>
      <c r="B27" s="29" t="str"/>
      <c r="C27" s="29" t="str"/>
      <c r="D27" s="29" t="str"/>
      <c r="E27" s="17" t="n"/>
      <c r="F27" s="17" t="n"/>
      <c r="G27" s="17" t="n"/>
      <c r="H27" s="17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"Блок 11,Блок 12,Блоки 3-9"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26" customWidth="1" style="1" min="1" max="1"/>
    <col width="36" customWidth="1" style="1" min="2" max="2"/>
    <col width="18" customWidth="1" style="1" min="3" max="3"/>
    <col width="34" customWidth="1" style="1" min="4" max="4"/>
    <col width="24" customWidth="1" style="1" min="5" max="5"/>
    <col width="4" customWidth="1" style="1" min="6" max="6"/>
    <col width="16" customWidth="1" style="1" min="7" max="7"/>
    <col width="34" customWidth="1" style="1" min="8" max="8"/>
    <col width="38" customWidth="1" style="1" min="9" max="9"/>
    <col width="4" customWidth="1" style="1" min="10" max="10"/>
    <col width="30" customWidth="1" style="1" min="11" max="11"/>
    <col width="16" customWidth="1" style="1" min="12" max="12"/>
    <col width="62" customWidth="1" style="1" min="13" max="13"/>
  </cols>
  <sheetData>
    <row r="1">
      <c r="A1" s="18" t="inlineStr">
        <is>
          <t>Прибор</t>
        </is>
      </c>
      <c r="B1" s="18" t="inlineStr">
        <is>
          <t>Сущность</t>
        </is>
      </c>
      <c r="C1" s="18" t="inlineStr">
        <is>
          <t>Источник</t>
        </is>
      </c>
      <c r="D1" s="18" t="inlineStr">
        <is>
          <t>Типовой владелец</t>
        </is>
      </c>
      <c r="E1" s="18" t="inlineStr">
        <is>
          <t>Ритм</t>
        </is>
      </c>
      <c r="F1" s="16" t="n"/>
      <c r="G1" s="24" t="inlineStr">
        <is>
          <t>Статус</t>
        </is>
      </c>
      <c r="H1" s="24" t="inlineStr">
        <is>
          <t>Как читать</t>
        </is>
      </c>
      <c r="I1" s="24" t="inlineStr">
        <is>
          <t>Действие</t>
        </is>
      </c>
      <c r="J1" s="17" t="n"/>
      <c r="K1" s="24" t="inlineStr">
        <is>
          <t>Сигнал</t>
        </is>
      </c>
      <c r="L1" s="24" t="inlineStr">
        <is>
          <t>Следующий блок</t>
        </is>
      </c>
      <c r="M1" s="24" t="inlineStr">
        <is>
          <t>Когда нужен</t>
        </is>
      </c>
    </row>
    <row r="2">
      <c r="A2" s="19" t="inlineStr">
        <is>
          <t>Состояние ядра</t>
        </is>
      </c>
      <c r="B2" s="19" t="inlineStr">
        <is>
          <t>CSS / индекс согласованности C-suite</t>
        </is>
      </c>
      <c r="C2" s="19" t="inlineStr">
        <is>
          <t>Блок 3</t>
        </is>
      </c>
      <c r="D2" s="19" t="inlineStr">
        <is>
          <t>CEO / куратор CLM</t>
        </is>
      </c>
      <c r="E2" s="19" t="inlineStr">
        <is>
          <t>Ежемесячно</t>
        </is>
      </c>
      <c r="F2" s="17" t="n"/>
      <c r="G2" s="19" t="inlineStr">
        <is>
          <t>Норма</t>
        </is>
      </c>
      <c r="H2" s="19" t="inlineStr">
        <is>
          <t>Значение в допустимой зоне</t>
        </is>
      </c>
      <c r="I2" s="19" t="inlineStr">
        <is>
          <t>Наблюдать по ритму</t>
        </is>
      </c>
      <c r="J2" s="17" t="n"/>
      <c r="K2" s="19" t="inlineStr">
        <is>
          <t>Есть критические сигналы</t>
        </is>
      </c>
      <c r="L2" s="19" t="inlineStr">
        <is>
          <t>Блок 11</t>
        </is>
      </c>
      <c r="M2" s="19" t="inlineStr">
        <is>
          <t>Передать приоритеты в дорожную карту 30 / 60 / 90.</t>
        </is>
      </c>
    </row>
    <row r="3">
      <c r="A3" s="19" t="inlineStr">
        <is>
          <t>Роли и мандаты</t>
        </is>
      </c>
      <c r="B3" s="19" t="inlineStr">
        <is>
          <t>Готовность ролей и мандатов</t>
        </is>
      </c>
      <c r="C3" s="19" t="inlineStr">
        <is>
          <t>Блок 4</t>
        </is>
      </c>
      <c r="D3" s="19" t="inlineStr">
        <is>
          <t>CEO / владелец архитектуры ролей</t>
        </is>
      </c>
      <c r="E3" s="19" t="inlineStr">
        <is>
          <t>Ежемесячно</t>
        </is>
      </c>
      <c r="F3" s="17" t="n"/>
      <c r="G3" s="19" t="inlineStr">
        <is>
          <t>Риск</t>
        </is>
      </c>
      <c r="H3" s="19" t="inlineStr">
        <is>
          <t>Есть предупреждение или ухудшение</t>
        </is>
      </c>
      <c r="I3" s="19" t="inlineStr">
        <is>
          <t>Назначить владельца реакции</t>
        </is>
      </c>
      <c r="J3" s="17" t="n"/>
      <c r="K3" s="19" t="inlineStr">
        <is>
          <t>Нужны рабочие шаблоны</t>
        </is>
      </c>
      <c r="L3" s="19" t="inlineStr">
        <is>
          <t>Блок 12</t>
        </is>
      </c>
      <c r="M3" s="19" t="inlineStr">
        <is>
          <t>Закрепить форму панели, журнал сигналов и артефакты.</t>
        </is>
      </c>
    </row>
    <row r="4">
      <c r="A4" s="19" t="inlineStr">
        <is>
          <t>Решения</t>
        </is>
      </c>
      <c r="B4" s="19" t="inlineStr">
        <is>
          <t>DVI + Reopen Rate</t>
        </is>
      </c>
      <c r="C4" s="19" t="inlineStr">
        <is>
          <t>Блок 5</t>
        </is>
      </c>
      <c r="D4" s="19" t="inlineStr">
        <is>
          <t>Владелец Decision OS / CEO / COO</t>
        </is>
      </c>
      <c r="E4" s="19" t="inlineStr">
        <is>
          <t>Еженедельно</t>
        </is>
      </c>
      <c r="F4" s="17" t="n"/>
      <c r="G4" s="19" t="inlineStr">
        <is>
          <t>Критично</t>
        </is>
      </c>
      <c r="H4" s="19" t="inlineStr">
        <is>
          <t>Система теряет управляемость</t>
        </is>
      </c>
      <c r="I4" s="19" t="inlineStr">
        <is>
          <t>Передать в Блок 11</t>
        </is>
      </c>
      <c r="J4" s="17" t="n"/>
      <c r="K4" s="19" t="inlineStr">
        <is>
          <t>Нет владельцев реакции</t>
        </is>
      </c>
      <c r="L4" s="19" t="inlineStr">
        <is>
          <t>Блоки 4-6</t>
        </is>
      </c>
      <c r="M4" s="19" t="inlineStr">
        <is>
          <t>Вернуться к ролям, мандатам и синхронизации.</t>
        </is>
      </c>
    </row>
    <row r="5">
      <c r="A5" s="19" t="inlineStr">
        <is>
          <t>Данные</t>
        </is>
      </c>
      <c r="B5" s="19" t="inlineStr">
        <is>
          <t>IR / индекс готовности данных</t>
        </is>
      </c>
      <c r="C5" s="19" t="inlineStr">
        <is>
          <t>Блоки 3, 5, 9</t>
        </is>
      </c>
      <c r="D5" s="19" t="inlineStr">
        <is>
          <t>CFO / CIO / владелец данных</t>
        </is>
      </c>
      <c r="E5" s="19" t="inlineStr">
        <is>
          <t>Ежемесячно</t>
        </is>
      </c>
      <c r="F5" s="17" t="n"/>
      <c r="G5" s="19" t="inlineStr">
        <is>
          <t>Не заполнено</t>
        </is>
      </c>
      <c r="H5" s="19" t="inlineStr">
        <is>
          <t>Нет данных или факта</t>
        </is>
      </c>
      <c r="I5" s="19" t="inlineStr">
        <is>
          <t>Не делать вывод</t>
        </is>
      </c>
      <c r="J5" s="17" t="n"/>
      <c r="K5" s="19" t="inlineStr">
        <is>
          <t>Нет данных</t>
        </is>
      </c>
      <c r="L5" s="19" t="inlineStr">
        <is>
          <t>Блоки 3, 5, 9</t>
        </is>
      </c>
      <c r="M5" s="19" t="inlineStr">
        <is>
          <t>Уточнить источники, Decision OS / систему решений и AI / ИИ-допуск.</t>
        </is>
      </c>
    </row>
    <row r="6">
      <c r="A6" s="19" t="inlineStr">
        <is>
          <t>Синхронизация</t>
        </is>
      </c>
      <c r="B6" s="19" t="inlineStr">
        <is>
          <t>RC / согласованность ролей</t>
        </is>
      </c>
      <c r="C6" s="19" t="inlineStr">
        <is>
          <t>Блок 6</t>
        </is>
      </c>
      <c r="D6" s="19" t="inlineStr">
        <is>
          <t>CEO / владелец интерфейса ролей</t>
        </is>
      </c>
      <c r="E6" s="19" t="inlineStr">
        <is>
          <t>Ежемесячно</t>
        </is>
      </c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19" t="inlineStr">
        <is>
          <t>Устойчивость</t>
        </is>
      </c>
      <c r="B7" s="19" t="inlineStr">
        <is>
          <t>RSI / устойчивость и восстановление</t>
        </is>
      </c>
      <c r="C7" s="19" t="inlineStr">
        <is>
          <t>Блок 7</t>
        </is>
      </c>
      <c r="D7" s="19" t="inlineStr">
        <is>
          <t>COO / владелец риска</t>
        </is>
      </c>
      <c r="E7" s="19" t="inlineStr">
        <is>
          <t>Ежеквартально / по событию</t>
        </is>
      </c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A8" s="19" t="inlineStr">
        <is>
          <t>AI / ИИ-допуск</t>
        </is>
      </c>
      <c r="B8" s="19" t="inlineStr">
        <is>
          <t>GO / HOLD / NO-GO AI / ИИ-сценариев</t>
        </is>
      </c>
      <c r="C8" s="19" t="inlineStr">
        <is>
          <t>Блок 9</t>
        </is>
      </c>
      <c r="D8" s="19" t="inlineStr">
        <is>
          <t>Владелец AI / ИИ-сценария</t>
        </is>
      </c>
      <c r="E8" s="19" t="inlineStr">
        <is>
          <t>Еженедельно / по сценарию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CLM_BLOCK_10_DASHBOARD_MODULE_RELEASE_V1_LIGHT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2026-07-07T17:48:47Z</dcterms:created>
  <dcterms:modified xmlns:dcterms="http://purl.org/dc/terms/" xmlns:xsi="http://www.w3.org/2001/XMLSchema-instance" xsi:type="dcterms:W3CDTF">2026-07-21T08:33:50Z</dcterms:modified>
</cp:coreProperties>
</file>