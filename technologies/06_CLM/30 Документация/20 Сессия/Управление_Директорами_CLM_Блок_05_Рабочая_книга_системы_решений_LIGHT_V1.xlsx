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Реестр_решений" sheetId="3" state="visible" r:id="rId3"/>
    <sheet xmlns:r="http://schemas.openxmlformats.org/officeDocument/2006/relationships" name="03_Decision_Loop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3EBDD"/>
      </patternFill>
    </fill>
    <fill>
      <patternFill patternType="solid">
        <fgColor rgb="00FFF7E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164" fontId="8" fillId="5" borderId="8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6" authorId="0" shapeId="0">
      <text>
        <t>Готовность Decision Loop показывает, сколько слоёв решения реально закрыты.</t>
      </text>
    </comment>
    <comment ref="B7" authorId="0" shapeId="0">
      <text>
        <t>Возврат к CEO означает, что мандат или владелец решения не работают.</t>
      </text>
    </comment>
    <comment ref="B8" authorId="0" shapeId="0">
      <text>
        <t>Decision OS Score — рабочий сигнал зрелости контура решений.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запуска настройки Decision OS.</t>
      </text>
    </comment>
    <comment ref="B6" authorId="0" shapeId="0">
      <text>
        <t>Разрыв из Блока 3: где C-level-ядро теряет связность.</t>
      </text>
    </comment>
    <comment ref="B7" authorId="0" shapeId="0">
      <text>
        <t>Риск роли из Блока 4, если решение зависит от конкретного руководителя.</t>
      </text>
    </comment>
    <comment ref="B8" authorId="0" shapeId="0">
      <text>
        <t>Какой тип решений сейчас является главным: стратегический, финансовый, клиентский, операционный, рисковый, AI / ИИ.</t>
      </text>
    </comment>
    <comment ref="B9" authorId="0" shapeId="0">
      <text>
        <t>Роль или человек, отвечающий за контур решений.</t>
      </text>
    </comment>
    <comment ref="B10" authorId="0" shapeId="0">
      <text>
        <t>Как часто проводится review / разбор решений.</t>
      </text>
    </comment>
    <comment ref="B11" authorId="0" shapeId="0">
      <text>
        <t>Используется ли AI / ИИ для подготовки решений.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B3" authorId="0" shapeId="0">
      <text>
        <t>Формулируйте как решение, а не как тему совещания.</t>
      </text>
    </comment>
    <comment ref="C3" authorId="0" shapeId="0">
      <text>
        <t>Тип решения нужен для фильтра и владельца.</t>
      </text>
    </comment>
    <comment ref="D3" authorId="0" shapeId="0">
      <text>
        <t>Владелец решения с мандатом. Не отдел и не комитет.</t>
      </text>
    </comment>
    <comment ref="E3" authorId="0" shapeId="0">
      <text>
        <t>Почему вопрос должен быть на уровне C-level.</t>
      </text>
    </comment>
    <comment ref="F3" authorId="0" shapeId="0">
      <text>
        <t>Какие данные нужны для выбора.</t>
      </text>
    </comment>
    <comment ref="G3" authorId="0" shapeId="0">
      <text>
        <t>По каким критериям выбирается вариант.</t>
      </text>
    </comment>
    <comment ref="H3" authorId="0" shapeId="0">
      <text>
        <t>Статус решения.</t>
      </text>
    </comment>
    <comment ref="I3" authorId="0" shapeId="0">
      <text>
        <t>Да, если решение возвращается к CEO из-за слабого мандата.</t>
      </text>
    </comment>
    <comment ref="J3" authorId="0" shapeId="0">
      <text>
        <t>0 — низкий риск; 3 — высокий риск ошибки или задержки.</t>
      </text>
    </comment>
    <comment ref="M3" authorId="0" shapeId="0">
      <text>
        <t>Автоматическая заполненность строки. Не заполнять вручную.</t>
      </text>
    </comment>
    <comment ref="B4" authorId="0" shapeId="0">
      <text>
        <t>Одна строка — одно C-level-решение.</t>
      </text>
    </comment>
    <comment ref="D4" authorId="0" shapeId="0">
      <text>
        <t>Если владельца нет, решение не готово к нормальному циклу.</t>
      </text>
    </comment>
    <comment ref="F4" authorId="0" shapeId="0">
      <text>
        <t>Data Pack / пакет данных: источники, цифры, факты, ограничения.</t>
      </text>
    </comment>
    <comment ref="B5" authorId="0" shapeId="0">
      <text>
        <t>Одна строка — одно C-level-решение.</t>
      </text>
    </comment>
    <comment ref="D5" authorId="0" shapeId="0">
      <text>
        <t>Если владельца нет, решение не готово к нормальному циклу.</t>
      </text>
    </comment>
    <comment ref="F5" authorId="0" shapeId="0">
      <text>
        <t>Data Pack / пакет данных: источники, цифры, факты, ограничения.</t>
      </text>
    </comment>
    <comment ref="B6" authorId="0" shapeId="0">
      <text>
        <t>Одна строка — одно C-level-решение.</t>
      </text>
    </comment>
    <comment ref="D6" authorId="0" shapeId="0">
      <text>
        <t>Если владельца нет, решение не готово к нормальному циклу.</t>
      </text>
    </comment>
    <comment ref="F6" authorId="0" shapeId="0">
      <text>
        <t>Data Pack / пакет данных: источники, цифры, факты, ограничения.</t>
      </text>
    </comment>
    <comment ref="B7" authorId="0" shapeId="0">
      <text>
        <t>Одна строка — одно C-level-решение.</t>
      </text>
    </comment>
    <comment ref="D7" authorId="0" shapeId="0">
      <text>
        <t>Если владельца нет, решение не готово к нормальному циклу.</t>
      </text>
    </comment>
    <comment ref="F7" authorId="0" shapeId="0">
      <text>
        <t>Data Pack / пакет данных: источники, цифры, факты, ограничения.</t>
      </text>
    </comment>
    <comment ref="B8" authorId="0" shapeId="0">
      <text>
        <t>Одна строка — одно C-level-решение.</t>
      </text>
    </comment>
    <comment ref="D8" authorId="0" shapeId="0">
      <text>
        <t>Если владельца нет, решение не готово к нормальному циклу.</t>
      </text>
    </comment>
    <comment ref="F8" authorId="0" shapeId="0">
      <text>
        <t>Data Pack / пакет данных: источники, цифры, факты, ограничения.</t>
      </text>
    </comment>
    <comment ref="B9" authorId="0" shapeId="0">
      <text>
        <t>Одна строка — одно C-level-решение.</t>
      </text>
    </comment>
    <comment ref="D9" authorId="0" shapeId="0">
      <text>
        <t>Если владельца нет, решение не готово к нормальному циклу.</t>
      </text>
    </comment>
    <comment ref="F9" authorId="0" shapeId="0">
      <text>
        <t>Data Pack / пакет данных: источники, цифры, факты, ограничения.</t>
      </text>
    </comment>
    <comment ref="B10" authorId="0" shapeId="0">
      <text>
        <t>Одна строка — одно C-level-решение.</t>
      </text>
    </comment>
    <comment ref="D10" authorId="0" shapeId="0">
      <text>
        <t>Если владельца нет, решение не готово к нормальному циклу.</t>
      </text>
    </comment>
    <comment ref="F10" authorId="0" shapeId="0">
      <text>
        <t>Data Pack / пакет данных: источники, цифры, факты, ограничения.</t>
      </text>
    </comment>
    <comment ref="B11" authorId="0" shapeId="0">
      <text>
        <t>Одна строка — одно C-level-решение.</t>
      </text>
    </comment>
    <comment ref="D11" authorId="0" shapeId="0">
      <text>
        <t>Если владельца нет, решение не готово к нормальному циклу.</t>
      </text>
    </comment>
    <comment ref="F11" authorId="0" shapeId="0">
      <text>
        <t>Data Pack / пакет данных: источники, цифры, факты, ограничения.</t>
      </text>
    </comment>
    <comment ref="B12" authorId="0" shapeId="0">
      <text>
        <t>Одна строка — одно C-level-решение.</t>
      </text>
    </comment>
    <comment ref="D12" authorId="0" shapeId="0">
      <text>
        <t>Если владельца нет, решение не готово к нормальному циклу.</t>
      </text>
    </comment>
    <comment ref="F12" authorId="0" shapeId="0">
      <text>
        <t>Data Pack / пакет данных: источники, цифры, факты, ограничения.</t>
      </text>
    </comment>
    <comment ref="B13" authorId="0" shapeId="0">
      <text>
        <t>Одна строка — одно C-level-решение.</t>
      </text>
    </comment>
    <comment ref="D13" authorId="0" shapeId="0">
      <text>
        <t>Если владельца нет, решение не готово к нормальному циклу.</t>
      </text>
    </comment>
    <comment ref="F13" authorId="0" shapeId="0">
      <text>
        <t>Data Pack / пакет данных: источники, цифры, факты, ограничения.</t>
      </text>
    </comment>
    <comment ref="B14" authorId="0" shapeId="0">
      <text>
        <t>Одна строка — одно C-level-решение.</t>
      </text>
    </comment>
    <comment ref="D14" authorId="0" shapeId="0">
      <text>
        <t>Если владельца нет, решение не готово к нормальному циклу.</t>
      </text>
    </comment>
    <comment ref="F14" authorId="0" shapeId="0">
      <text>
        <t>Data Pack / пакет данных: источники, цифры, факты, ограничения.</t>
      </text>
    </comment>
    <comment ref="B15" authorId="0" shapeId="0">
      <text>
        <t>Одна строка — одно C-level-решение.</t>
      </text>
    </comment>
    <comment ref="D15" authorId="0" shapeId="0">
      <text>
        <t>Если владельца нет, решение не готово к нормальному циклу.</t>
      </text>
    </comment>
    <comment ref="F15" authorId="0" shapeId="0">
      <text>
        <t>Data Pack / пакет данных: источники, цифры, факты, ограничения.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C3" authorId="0" shapeId="0">
      <text>
        <t>Да / нет / не ясно. Ответ должен быть подтверждён фактом.</t>
      </text>
    </comment>
    <comment ref="D3" authorId="0" shapeId="0">
      <text>
        <t>Кто отвечает за этот слой решения.</t>
      </text>
    </comment>
    <comment ref="E3" authorId="0" shapeId="0">
      <text>
        <t>Источник: протокол, данные, владелец, регламент, наблюдение.</t>
      </text>
    </comment>
    <comment ref="F3" authorId="0" shapeId="0">
      <text>
        <t>0 — риска нет; 3 — высокий риск сбоя решения.</t>
      </text>
    </comment>
    <comment ref="H3" authorId="0" shapeId="0">
      <text>
        <t>Автоматический статус слоя.</t>
      </text>
    </comment>
    <comment ref="C4" authorId="0" shapeId="0">
      <text>
        <t>Если ответ 'Не ясно', это тоже разрыв Decision OS.</t>
      </text>
    </comment>
    <comment ref="C5" authorId="0" shapeId="0">
      <text>
        <t>Если ответ 'Не ясно', это тоже разрыв Decision OS.</t>
      </text>
    </comment>
    <comment ref="C6" authorId="0" shapeId="0">
      <text>
        <t>Если ответ 'Не ясно', это тоже разрыв Decision OS.</t>
      </text>
    </comment>
    <comment ref="C7" authorId="0" shapeId="0">
      <text>
        <t>Если ответ 'Не ясно', это тоже разрыв Decision OS.</t>
      </text>
    </comment>
    <comment ref="C8" authorId="0" shapeId="0">
      <text>
        <t>Если ответ 'Не ясно', это тоже разрыв Decision OS.</t>
      </text>
    </comment>
    <comment ref="C9" authorId="0" shapeId="0">
      <text>
        <t>Если ответ 'Не ясно', это тоже разрыв Decision OS.</t>
      </text>
    </comment>
    <comment ref="C10" authorId="0" shapeId="0">
      <text>
        <t>Если ответ 'Не ясно', это тоже разрыв Decision OS.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Выберите следующий блок CLM по главному разрыву: синхронизация, устойчивость, лидерский переход, AI / ИИ, панель или roadmap / дорожная карта.</t>
      </text>
    </comment>
    <comment ref="B10" authorId="0" shapeId="0">
      <text>
        <t>Первое действие должно быть конкретным и выполнимым за 30 дней.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Типы решений для реестра.</t>
      </text>
    </comment>
    <comment ref="H1" authorId="0" shapeId="0">
      <text>
        <t>Семь слоёв Decision Loop / цикла решений.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2" customWidth="1" style="1" min="2" max="2"/>
    <col width="22" customWidth="1" style="1" min="3" max="3"/>
    <col width="54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>
      <c r="A1" s="16" t="inlineStr">
        <is>
          <t>CLM Блок 5. Панель Decision OS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Комментарий</t>
        </is>
      </c>
      <c r="E3" s="17" t="n"/>
      <c r="F3" s="17" t="n"/>
      <c r="G3" s="17" t="n"/>
      <c r="H3" s="17" t="n"/>
    </row>
    <row r="4">
      <c r="A4" s="19" t="inlineStr">
        <is>
          <t>Клиент</t>
        </is>
      </c>
      <c r="B4" s="19">
        <f>'01_Ввод'!B4</f>
        <v/>
      </c>
      <c r="C4" s="19" t="str"/>
      <c r="D4" s="19" t="str"/>
      <c r="E4" s="17" t="n"/>
      <c r="F4" s="17" t="n"/>
      <c r="G4" s="17" t="n"/>
      <c r="H4" s="17" t="n"/>
    </row>
    <row r="5">
      <c r="A5" s="19" t="inlineStr">
        <is>
          <t>Количество решений</t>
        </is>
      </c>
      <c r="B5" s="19">
        <f>'04_Расчет'!B4</f>
        <v/>
      </c>
      <c r="C5" s="19" t="inlineStr">
        <is>
          <t>1+</t>
        </is>
      </c>
      <c r="D5" s="19" t="str"/>
      <c r="E5" s="17" t="n"/>
      <c r="F5" s="17" t="n"/>
      <c r="G5" s="17" t="n"/>
      <c r="H5" s="17" t="n"/>
    </row>
    <row r="6">
      <c r="A6" s="19" t="inlineStr">
        <is>
          <t>Готовность Decision Loop</t>
        </is>
      </c>
      <c r="B6" s="20">
        <f>'04_Расчет'!B6</f>
        <v/>
      </c>
      <c r="C6" s="19" t="inlineStr">
        <is>
          <t>80%+</t>
        </is>
      </c>
      <c r="D6" s="19" t="str"/>
      <c r="E6" s="17" t="n"/>
      <c r="F6" s="17" t="n"/>
      <c r="G6" s="17" t="n"/>
      <c r="H6" s="17" t="n"/>
    </row>
    <row r="7">
      <c r="A7" s="19" t="inlineStr">
        <is>
          <t>Возвратов к CEO</t>
        </is>
      </c>
      <c r="B7" s="19">
        <f>'04_Расчет'!B7</f>
        <v/>
      </c>
      <c r="C7" s="19" t="inlineStr">
        <is>
          <t>0</t>
        </is>
      </c>
      <c r="D7" s="19" t="str"/>
      <c r="E7" s="17" t="n"/>
      <c r="F7" s="17" t="n"/>
      <c r="G7" s="17" t="n"/>
      <c r="H7" s="17" t="n"/>
    </row>
    <row r="8">
      <c r="A8" s="19" t="inlineStr">
        <is>
          <t>Decision OS Score</t>
        </is>
      </c>
      <c r="B8" s="21">
        <f>'04_Расчет'!B9</f>
        <v/>
      </c>
      <c r="C8" s="19" t="inlineStr">
        <is>
          <t>75+</t>
        </is>
      </c>
      <c r="D8" s="19" t="str"/>
      <c r="E8" s="17" t="n"/>
      <c r="F8" s="17" t="n"/>
      <c r="G8" s="17" t="n"/>
      <c r="H8" s="17" t="n"/>
    </row>
    <row r="9">
      <c r="A9" s="19" t="inlineStr">
        <is>
          <t>Статус</t>
        </is>
      </c>
      <c r="B9" s="19">
        <f>'04_Расчет'!B10</f>
        <v/>
      </c>
      <c r="C9" s="19" t="inlineStr">
        <is>
          <t>GO / HOLD / NO-GO</t>
        </is>
      </c>
      <c r="D9" s="19" t="str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22" t="inlineStr">
        <is>
          <t>Контроль заполнения</t>
        </is>
      </c>
      <c r="E11" s="17" t="n"/>
      <c r="F11" s="23" t="inlineStr">
        <is>
          <t>Что проверяет Блок 5</t>
        </is>
      </c>
    </row>
    <row r="12">
      <c r="A12" s="24" t="inlineStr">
        <is>
          <t>Слой</t>
        </is>
      </c>
      <c r="B12" s="24" t="inlineStr">
        <is>
          <t>Заполненность / число</t>
        </is>
      </c>
      <c r="C12" s="24" t="inlineStr">
        <is>
          <t>Норма</t>
        </is>
      </c>
      <c r="D12" s="24" t="inlineStr">
        <is>
          <t>Комментарий</t>
        </is>
      </c>
      <c r="E12" s="17" t="n"/>
      <c r="F12" s="25" t="inlineStr">
        <is>
          <t>Блок 5 проверяет путь решения: вход, фильтр, владелец, данные, критерии, обязательство, review / разбор.</t>
        </is>
      </c>
      <c r="G12" s="31" t="n"/>
      <c r="H12" s="32" t="n"/>
    </row>
    <row r="13">
      <c r="A13" s="19" t="inlineStr">
        <is>
          <t>Реестр решений</t>
        </is>
      </c>
      <c r="B13" s="20">
        <f>'04_Расчет'!B5</f>
        <v/>
      </c>
      <c r="C13" s="19" t="inlineStr">
        <is>
          <t>80%+</t>
        </is>
      </c>
      <c r="D13" s="19" t="str"/>
      <c r="E13" s="17" t="n"/>
      <c r="F13" s="25" t="inlineStr">
        <is>
          <t>В книгу не заносятся все операционные вопросы. Только решения C-level-уровня.</t>
        </is>
      </c>
      <c r="G13" s="31" t="n"/>
      <c r="H13" s="32" t="n"/>
    </row>
    <row r="14">
      <c r="A14" s="19" t="inlineStr">
        <is>
          <t>Decision Loop</t>
        </is>
      </c>
      <c r="B14" s="20">
        <f>'04_Расчет'!B6</f>
        <v/>
      </c>
      <c r="C14" s="19" t="inlineStr">
        <is>
          <t>80%+</t>
        </is>
      </c>
      <c r="D14" s="19" t="str"/>
      <c r="E14" s="17" t="n"/>
      <c r="F14" s="25" t="inlineStr">
        <is>
          <t>AI / ИИ может помогать готовить варианты, но не принимает решение вместо владельца мандата.</t>
        </is>
      </c>
      <c r="G14" s="31" t="n"/>
      <c r="H14" s="32" t="n"/>
    </row>
    <row r="15">
      <c r="A15" s="19" t="inlineStr">
        <is>
          <t>Средний риск</t>
        </is>
      </c>
      <c r="B15" s="19">
        <f>'04_Расчет'!B8</f>
        <v/>
      </c>
      <c r="C15" s="19" t="inlineStr">
        <is>
          <t>0-1</t>
        </is>
      </c>
      <c r="D15" s="19" t="str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28" t="inlineStr">
        <is>
          <t>Как пользоваться</t>
        </is>
      </c>
    </row>
    <row r="18">
      <c r="A18" s="19" t="inlineStr">
        <is>
          <t>1. Заполните 01_Ввод: разрывы из Блоков 3-4, владелец Decision OS, ритм review / разбора.</t>
        </is>
      </c>
      <c r="B18" s="19" t="str"/>
      <c r="C18" s="19" t="str"/>
      <c r="D18" s="19" t="str"/>
      <c r="E18" s="19" t="str"/>
      <c r="F18" s="19" t="str"/>
      <c r="G18" s="19" t="str"/>
      <c r="H18" s="19" t="str"/>
    </row>
    <row r="19">
      <c r="A19" s="19" t="inlineStr">
        <is>
          <t>2. На 02_Реестр_решений внесите только C-level-решения, не все операционные вопросы.</t>
        </is>
      </c>
      <c r="B19" s="19" t="str"/>
      <c r="C19" s="19" t="str"/>
      <c r="D19" s="19" t="str"/>
      <c r="E19" s="19" t="str"/>
      <c r="F19" s="19" t="str"/>
      <c r="G19" s="19" t="str"/>
      <c r="H19" s="19" t="str"/>
    </row>
    <row r="20">
      <c r="A20" s="19" t="inlineStr">
        <is>
          <t>3. На 03_Decision_Loop проверьте семь слоёв пути решения.</t>
        </is>
      </c>
      <c r="B20" s="19" t="str"/>
      <c r="C20" s="19" t="str"/>
      <c r="D20" s="19" t="str"/>
      <c r="E20" s="19" t="str"/>
      <c r="F20" s="19" t="str"/>
      <c r="G20" s="19" t="str"/>
      <c r="H20" s="19" t="str"/>
    </row>
    <row r="21">
      <c r="A21" s="19" t="inlineStr">
        <is>
          <t>4. 04_Расчет не заполняется вручную.</t>
        </is>
      </c>
      <c r="B21" s="19" t="str"/>
      <c r="C21" s="19" t="str"/>
      <c r="D21" s="19" t="str"/>
      <c r="E21" s="19" t="str"/>
      <c r="F21" s="19" t="str"/>
      <c r="G21" s="19" t="str"/>
      <c r="H21" s="19" t="str"/>
    </row>
    <row r="22">
      <c r="A22" s="19" t="inlineStr">
        <is>
          <t>5. На 05_Отчет выберите следующий блок и первое действие 30 дней.</t>
        </is>
      </c>
      <c r="B22" s="19" t="str"/>
      <c r="C22" s="19" t="str"/>
      <c r="D22" s="19" t="str"/>
      <c r="E22" s="19" t="str"/>
      <c r="F22" s="19" t="str"/>
      <c r="G22" s="19" t="str"/>
      <c r="H22" s="19" t="str"/>
    </row>
  </sheetData>
  <mergeCells count="7">
    <mergeCell ref="F14:H14"/>
    <mergeCell ref="A11:D11"/>
    <mergeCell ref="F13:H13"/>
    <mergeCell ref="F12:H12"/>
    <mergeCell ref="A1:H1"/>
    <mergeCell ref="F11:H11"/>
    <mergeCell ref="A17:H17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88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CLM Блок 5. Ввод Decision OS / операционной системы решений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Поле</t>
        </is>
      </c>
      <c r="B3" s="18" t="inlineStr">
        <is>
          <t>Значение</t>
        </is>
      </c>
      <c r="C3" s="17" t="n"/>
      <c r="D3" s="17" t="n"/>
      <c r="E3" s="17" t="n"/>
      <c r="F3" s="17" t="n"/>
      <c r="G3" s="17" t="n"/>
      <c r="H3" s="17" t="n"/>
    </row>
    <row r="4">
      <c r="A4" s="19" t="inlineStr">
        <is>
          <t>Клиент</t>
        </is>
      </c>
      <c r="B4" s="29" t="str"/>
      <c r="C4" s="17" t="n"/>
      <c r="D4" s="17" t="n"/>
      <c r="E4" s="17" t="n"/>
      <c r="F4" s="17" t="n"/>
      <c r="G4" s="17" t="n"/>
      <c r="H4" s="17" t="n"/>
    </row>
    <row r="5">
      <c r="A5" s="19" t="inlineStr">
        <is>
          <t>Дата запуска</t>
        </is>
      </c>
      <c r="B5" s="30" t="str"/>
      <c r="C5" s="17" t="n"/>
      <c r="D5" s="17" t="n"/>
      <c r="E5" s="17" t="n"/>
      <c r="F5" s="17" t="n"/>
      <c r="G5" s="17" t="n"/>
      <c r="H5" s="17" t="n"/>
    </row>
    <row r="6">
      <c r="A6" s="19" t="inlineStr">
        <is>
          <t>Главный разрыв из Блока 3</t>
        </is>
      </c>
      <c r="B6" s="29" t="str"/>
      <c r="C6" s="17" t="n"/>
      <c r="D6" s="17" t="n"/>
      <c r="E6" s="17" t="n"/>
      <c r="F6" s="17" t="n"/>
      <c r="G6" s="17" t="n"/>
      <c r="H6" s="17" t="n"/>
    </row>
    <row r="7">
      <c r="A7" s="19" t="inlineStr">
        <is>
          <t>Риск роли из Блока 4</t>
        </is>
      </c>
      <c r="B7" s="29" t="str"/>
      <c r="C7" s="17" t="n"/>
      <c r="D7" s="17" t="n"/>
      <c r="E7" s="17" t="n"/>
      <c r="F7" s="17" t="n"/>
      <c r="G7" s="17" t="n"/>
      <c r="H7" s="17" t="n"/>
    </row>
    <row r="8">
      <c r="A8" s="19" t="inlineStr">
        <is>
          <t>Основной контур решений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Владелец Decision OS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Ритм review / разбора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9" t="inlineStr">
        <is>
          <t>AI / ИИ используется?</t>
        </is>
      </c>
      <c r="B11" s="29" t="str"/>
      <c r="C11" s="17" t="n"/>
      <c r="D11" s="17" t="n"/>
      <c r="E11" s="17" t="n"/>
      <c r="F11" s="17" t="n"/>
      <c r="G11" s="17" t="n"/>
      <c r="H11" s="17" t="n"/>
    </row>
    <row r="12">
      <c r="A12" s="19" t="inlineStr">
        <is>
          <t>Комментарий</t>
        </is>
      </c>
      <c r="B12" s="29" t="str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22" t="inlineStr">
        <is>
          <t>Правило заполнения</t>
        </is>
      </c>
      <c r="C14" s="17" t="n"/>
      <c r="D14" s="17" t="n"/>
      <c r="E14" s="17" t="n"/>
      <c r="F14" s="17" t="n"/>
      <c r="G14" s="17" t="n"/>
      <c r="H14" s="17" t="n"/>
    </row>
    <row r="15">
      <c r="A15" s="19" t="inlineStr">
        <is>
          <t>1</t>
        </is>
      </c>
      <c r="B15" s="19" t="inlineStr">
        <is>
          <t>Не заносите все операционные вопросы. Только решения, которые влияют на C-level-ядро.</t>
        </is>
      </c>
      <c r="C15" s="17" t="n"/>
      <c r="D15" s="17" t="n"/>
      <c r="E15" s="17" t="n"/>
      <c r="F15" s="17" t="n"/>
      <c r="G15" s="17" t="n"/>
      <c r="H15" s="17" t="n"/>
    </row>
    <row r="16">
      <c r="A16" s="19" t="inlineStr">
        <is>
          <t>2</t>
        </is>
      </c>
      <c r="B16" s="19" t="inlineStr">
        <is>
          <t>Каждое решение должно иметь владельца, данные, критерии, обязательство и review / разбор.</t>
        </is>
      </c>
      <c r="C16" s="17" t="n"/>
      <c r="D16" s="17" t="n"/>
      <c r="E16" s="17" t="n"/>
      <c r="F16" s="17" t="n"/>
      <c r="G16" s="17" t="n"/>
      <c r="H16" s="17" t="n"/>
    </row>
    <row r="17">
      <c r="A17" s="19" t="inlineStr">
        <is>
          <t>3</t>
        </is>
      </c>
      <c r="B17" s="19" t="inlineStr">
        <is>
          <t>Если решение постоянно возвращается к CEO, фиксируйте это как управленческий риск.</t>
        </is>
      </c>
      <c r="C17" s="17" t="n"/>
      <c r="D17" s="17" t="n"/>
      <c r="E17" s="17" t="n"/>
      <c r="F17" s="17" t="n"/>
      <c r="G17" s="17" t="n"/>
      <c r="H17" s="17" t="n"/>
    </row>
    <row r="18">
      <c r="A18" s="19" t="inlineStr">
        <is>
          <t>4</t>
        </is>
      </c>
      <c r="B18" s="19" t="inlineStr">
        <is>
          <t>AI / ИИ может помогать, но не становится владельцем решения.</t>
        </is>
      </c>
      <c r="C18" s="17" t="n"/>
      <c r="D18" s="17" t="n"/>
      <c r="E18" s="17" t="n"/>
      <c r="F18" s="17" t="n"/>
      <c r="G18" s="17" t="n"/>
      <c r="H18" s="17" t="n"/>
    </row>
  </sheetData>
  <mergeCells count="2">
    <mergeCell ref="A14:B14"/>
    <mergeCell ref="A1:H1"/>
  </mergeCells>
  <dataValidations count="1">
    <dataValidation sqref="B11" showDropDown="0" showInputMessage="0" showErrorMessage="0" allowBlank="0" type="list">
      <formula1>'90_Справочник'!$F$2:$F$4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38" customWidth="1" style="1" min="2" max="2"/>
    <col width="20" customWidth="1" style="1" min="3" max="3"/>
    <col width="22" customWidth="1" style="1" min="4" max="4"/>
    <col width="34" customWidth="1" style="1" min="5" max="5"/>
    <col width="32" customWidth="1" style="1" min="6" max="6"/>
    <col width="32" customWidth="1" style="1" min="7" max="7"/>
    <col width="16" customWidth="1" style="1" min="8" max="8"/>
    <col width="16" customWidth="1" style="1" min="9" max="9"/>
    <col width="12" customWidth="1" style="1" min="10" max="10"/>
    <col width="14" customWidth="1" style="1" min="11" max="11"/>
    <col width="34" customWidth="1" style="1" min="12" max="12"/>
    <col width="14" customWidth="1" style="1" min="13" max="13"/>
  </cols>
  <sheetData>
    <row r="1">
      <c r="A1" s="16" t="inlineStr">
        <is>
          <t>Реестр C-level-решений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</row>
    <row r="3">
      <c r="A3" s="18" t="inlineStr">
        <is>
          <t>ID</t>
        </is>
      </c>
      <c r="B3" s="18" t="inlineStr">
        <is>
          <t>Решение / вопрос</t>
        </is>
      </c>
      <c r="C3" s="18" t="inlineStr">
        <is>
          <t>Тип</t>
        </is>
      </c>
      <c r="D3" s="18" t="inlineStr">
        <is>
          <t>Владелец</t>
        </is>
      </c>
      <c r="E3" s="18" t="inlineStr">
        <is>
          <t>Почему C-level</t>
        </is>
      </c>
      <c r="F3" s="18" t="inlineStr">
        <is>
          <t>Data Pack / пакет данных</t>
        </is>
      </c>
      <c r="G3" s="18" t="inlineStr">
        <is>
          <t>Критерии</t>
        </is>
      </c>
      <c r="H3" s="18" t="inlineStr">
        <is>
          <t>Статус</t>
        </is>
      </c>
      <c r="I3" s="18" t="inlineStr">
        <is>
          <t>Возврат к CEO?</t>
        </is>
      </c>
      <c r="J3" s="18" t="inlineStr">
        <is>
          <t>Риск, 0-3</t>
        </is>
      </c>
      <c r="K3" s="18" t="inlineStr">
        <is>
          <t>Срок</t>
        </is>
      </c>
      <c r="L3" s="18" t="inlineStr">
        <is>
          <t>Комментарий</t>
        </is>
      </c>
      <c r="M3" s="18" t="inlineStr">
        <is>
          <t>Готовность</t>
        </is>
      </c>
    </row>
    <row r="4">
      <c r="A4" s="19" t="inlineStr">
        <is>
          <t>D-01</t>
        </is>
      </c>
      <c r="B4" s="29" t="str"/>
      <c r="C4" s="29" t="str"/>
      <c r="D4" s="29" t="str"/>
      <c r="E4" s="29" t="str"/>
      <c r="F4" s="29" t="str"/>
      <c r="G4" s="29" t="str"/>
      <c r="H4" s="29" t="str"/>
      <c r="I4" s="29" t="str"/>
      <c r="J4" s="29" t="str"/>
      <c r="K4" s="30" t="str"/>
      <c r="L4" s="29" t="str"/>
      <c r="M4" s="20">
        <f>IF(B4="","",COUNTA(C4:K4)/9)</f>
        <v/>
      </c>
    </row>
    <row r="5">
      <c r="A5" s="19" t="inlineStr">
        <is>
          <t>D-02</t>
        </is>
      </c>
      <c r="B5" s="29" t="str"/>
      <c r="C5" s="29" t="str"/>
      <c r="D5" s="29" t="str"/>
      <c r="E5" s="29" t="str"/>
      <c r="F5" s="29" t="str"/>
      <c r="G5" s="29" t="str"/>
      <c r="H5" s="29" t="str"/>
      <c r="I5" s="29" t="str"/>
      <c r="J5" s="29" t="str"/>
      <c r="K5" s="30" t="str"/>
      <c r="L5" s="29" t="str"/>
      <c r="M5" s="20">
        <f>IF(B5="","",COUNTA(C5:K5)/9)</f>
        <v/>
      </c>
    </row>
    <row r="6">
      <c r="A6" s="19" t="inlineStr">
        <is>
          <t>D-03</t>
        </is>
      </c>
      <c r="B6" s="29" t="str"/>
      <c r="C6" s="29" t="str"/>
      <c r="D6" s="29" t="str"/>
      <c r="E6" s="29" t="str"/>
      <c r="F6" s="29" t="str"/>
      <c r="G6" s="29" t="str"/>
      <c r="H6" s="29" t="str"/>
      <c r="I6" s="29" t="str"/>
      <c r="J6" s="29" t="str"/>
      <c r="K6" s="30" t="str"/>
      <c r="L6" s="29" t="str"/>
      <c r="M6" s="20">
        <f>IF(B6="","",COUNTA(C6:K6)/9)</f>
        <v/>
      </c>
    </row>
    <row r="7">
      <c r="A7" s="19" t="inlineStr">
        <is>
          <t>D-04</t>
        </is>
      </c>
      <c r="B7" s="29" t="str"/>
      <c r="C7" s="29" t="str"/>
      <c r="D7" s="29" t="str"/>
      <c r="E7" s="29" t="str"/>
      <c r="F7" s="29" t="str"/>
      <c r="G7" s="29" t="str"/>
      <c r="H7" s="29" t="str"/>
      <c r="I7" s="29" t="str"/>
      <c r="J7" s="29" t="str"/>
      <c r="K7" s="30" t="str"/>
      <c r="L7" s="29" t="str"/>
      <c r="M7" s="20">
        <f>IF(B7="","",COUNTA(C7:K7)/9)</f>
        <v/>
      </c>
    </row>
    <row r="8">
      <c r="A8" s="19" t="inlineStr">
        <is>
          <t>D-05</t>
        </is>
      </c>
      <c r="B8" s="29" t="str"/>
      <c r="C8" s="29" t="str"/>
      <c r="D8" s="29" t="str"/>
      <c r="E8" s="29" t="str"/>
      <c r="F8" s="29" t="str"/>
      <c r="G8" s="29" t="str"/>
      <c r="H8" s="29" t="str"/>
      <c r="I8" s="29" t="str"/>
      <c r="J8" s="29" t="str"/>
      <c r="K8" s="30" t="str"/>
      <c r="L8" s="29" t="str"/>
      <c r="M8" s="20">
        <f>IF(B8="","",COUNTA(C8:K8)/9)</f>
        <v/>
      </c>
    </row>
    <row r="9">
      <c r="A9" s="19" t="inlineStr">
        <is>
          <t>D-06</t>
        </is>
      </c>
      <c r="B9" s="29" t="str"/>
      <c r="C9" s="29" t="str"/>
      <c r="D9" s="29" t="str"/>
      <c r="E9" s="29" t="str"/>
      <c r="F9" s="29" t="str"/>
      <c r="G9" s="29" t="str"/>
      <c r="H9" s="29" t="str"/>
      <c r="I9" s="29" t="str"/>
      <c r="J9" s="29" t="str"/>
      <c r="K9" s="30" t="str"/>
      <c r="L9" s="29" t="str"/>
      <c r="M9" s="20">
        <f>IF(B9="","",COUNTA(C9:K9)/9)</f>
        <v/>
      </c>
    </row>
    <row r="10">
      <c r="A10" s="19" t="inlineStr">
        <is>
          <t>D-07</t>
        </is>
      </c>
      <c r="B10" s="29" t="str"/>
      <c r="C10" s="29" t="str"/>
      <c r="D10" s="29" t="str"/>
      <c r="E10" s="29" t="str"/>
      <c r="F10" s="29" t="str"/>
      <c r="G10" s="29" t="str"/>
      <c r="H10" s="29" t="str"/>
      <c r="I10" s="29" t="str"/>
      <c r="J10" s="29" t="str"/>
      <c r="K10" s="30" t="str"/>
      <c r="L10" s="29" t="str"/>
      <c r="M10" s="20">
        <f>IF(B10="","",COUNTA(C10:K10)/9)</f>
        <v/>
      </c>
    </row>
    <row r="11">
      <c r="A11" s="19" t="inlineStr">
        <is>
          <t>D-08</t>
        </is>
      </c>
      <c r="B11" s="29" t="str"/>
      <c r="C11" s="29" t="str"/>
      <c r="D11" s="29" t="str"/>
      <c r="E11" s="29" t="str"/>
      <c r="F11" s="29" t="str"/>
      <c r="G11" s="29" t="str"/>
      <c r="H11" s="29" t="str"/>
      <c r="I11" s="29" t="str"/>
      <c r="J11" s="29" t="str"/>
      <c r="K11" s="30" t="str"/>
      <c r="L11" s="29" t="str"/>
      <c r="M11" s="20">
        <f>IF(B11="","",COUNTA(C11:K11)/9)</f>
        <v/>
      </c>
    </row>
    <row r="12">
      <c r="A12" s="19" t="inlineStr">
        <is>
          <t>D-09</t>
        </is>
      </c>
      <c r="B12" s="29" t="str"/>
      <c r="C12" s="29" t="str"/>
      <c r="D12" s="29" t="str"/>
      <c r="E12" s="29" t="str"/>
      <c r="F12" s="29" t="str"/>
      <c r="G12" s="29" t="str"/>
      <c r="H12" s="29" t="str"/>
      <c r="I12" s="29" t="str"/>
      <c r="J12" s="29" t="str"/>
      <c r="K12" s="30" t="str"/>
      <c r="L12" s="29" t="str"/>
      <c r="M12" s="20">
        <f>IF(B12="","",COUNTA(C12:K12)/9)</f>
        <v/>
      </c>
    </row>
    <row r="13">
      <c r="A13" s="19" t="inlineStr">
        <is>
          <t>D-10</t>
        </is>
      </c>
      <c r="B13" s="29" t="str"/>
      <c r="C13" s="29" t="str"/>
      <c r="D13" s="29" t="str"/>
      <c r="E13" s="29" t="str"/>
      <c r="F13" s="29" t="str"/>
      <c r="G13" s="29" t="str"/>
      <c r="H13" s="29" t="str"/>
      <c r="I13" s="29" t="str"/>
      <c r="J13" s="29" t="str"/>
      <c r="K13" s="30" t="str"/>
      <c r="L13" s="29" t="str"/>
      <c r="M13" s="20">
        <f>IF(B13="","",COUNTA(C13:K13)/9)</f>
        <v/>
      </c>
    </row>
    <row r="14">
      <c r="A14" s="19" t="inlineStr">
        <is>
          <t>D-11</t>
        </is>
      </c>
      <c r="B14" s="29" t="str"/>
      <c r="C14" s="29" t="str"/>
      <c r="D14" s="29" t="str"/>
      <c r="E14" s="29" t="str"/>
      <c r="F14" s="29" t="str"/>
      <c r="G14" s="29" t="str"/>
      <c r="H14" s="29" t="str"/>
      <c r="I14" s="29" t="str"/>
      <c r="J14" s="29" t="str"/>
      <c r="K14" s="30" t="str"/>
      <c r="L14" s="29" t="str"/>
      <c r="M14" s="20">
        <f>IF(B14="","",COUNTA(C14:K14)/9)</f>
        <v/>
      </c>
    </row>
    <row r="15">
      <c r="A15" s="19" t="inlineStr">
        <is>
          <t>D-12</t>
        </is>
      </c>
      <c r="B15" s="29" t="str"/>
      <c r="C15" s="29" t="str"/>
      <c r="D15" s="29" t="str"/>
      <c r="E15" s="29" t="str"/>
      <c r="F15" s="29" t="str"/>
      <c r="G15" s="29" t="str"/>
      <c r="H15" s="29" t="str"/>
      <c r="I15" s="29" t="str"/>
      <c r="J15" s="29" t="str"/>
      <c r="K15" s="30" t="str"/>
      <c r="L15" s="29" t="str"/>
      <c r="M15" s="20">
        <f>IF(B15="","",COUNTA(C15:K15)/9)</f>
        <v/>
      </c>
    </row>
  </sheetData>
  <mergeCells count="1">
    <mergeCell ref="A1:M1"/>
  </mergeCells>
  <dataValidations count="4">
    <dataValidation sqref="C4:C15" showDropDown="0" showInputMessage="0" showErrorMessage="0" allowBlank="0" type="list">
      <formula1>'90_Справочник'!$A$2:$A$7</formula1>
    </dataValidation>
    <dataValidation sqref="H4:H15" showDropDown="0" showInputMessage="0" showErrorMessage="0" allowBlank="0" type="list">
      <formula1>'90_Справочник'!$D$2:$D$4</formula1>
    </dataValidation>
    <dataValidation sqref="I4:I15" showDropDown="0" showInputMessage="0" showErrorMessage="0" allowBlank="0" type="list">
      <formula1>'90_Справочник'!$F$2:$F$4</formula1>
    </dataValidation>
    <dataValidation sqref="J4:J15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58" customWidth="1" style="1" min="2" max="2"/>
    <col width="14" customWidth="1" style="1" min="3" max="3"/>
    <col width="22" customWidth="1" style="1" min="4" max="4"/>
    <col width="28" customWidth="1" style="1" min="5" max="5"/>
    <col width="12" customWidth="1" style="1" min="6" max="6"/>
    <col width="38" customWidth="1" style="1" min="7" max="7"/>
    <col width="16" customWidth="1" style="1" min="8" max="8"/>
  </cols>
  <sheetData>
    <row r="1">
      <c r="A1" s="16" t="inlineStr">
        <is>
          <t>Decision Loop / цикл решений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Слой</t>
        </is>
      </c>
      <c r="B3" s="18" t="inlineStr">
        <is>
          <t>Проверочный вопрос</t>
        </is>
      </c>
      <c r="C3" s="18" t="inlineStr">
        <is>
          <t>Ответ</t>
        </is>
      </c>
      <c r="D3" s="18" t="inlineStr">
        <is>
          <t>Владелец</t>
        </is>
      </c>
      <c r="E3" s="18" t="inlineStr">
        <is>
          <t>Источник</t>
        </is>
      </c>
      <c r="F3" s="18" t="inlineStr">
        <is>
          <t>Риск, 0-3</t>
        </is>
      </c>
      <c r="G3" s="18" t="inlineStr">
        <is>
          <t>Комментарий</t>
        </is>
      </c>
      <c r="H3" s="18" t="inlineStr">
        <is>
          <t>Статус</t>
        </is>
      </c>
    </row>
    <row r="4">
      <c r="A4" s="19" t="inlineStr">
        <is>
          <t>Вход</t>
        </is>
      </c>
      <c r="B4" s="19" t="inlineStr">
        <is>
          <t>Вопрос или сигнал сформулирован как управленческое решение.</t>
        </is>
      </c>
      <c r="C4" s="29" t="str"/>
      <c r="D4" s="29" t="str"/>
      <c r="E4" s="29" t="str"/>
      <c r="F4" s="29" t="str"/>
      <c r="G4" s="29" t="str"/>
      <c r="H4" s="19">
        <f>IF(C4="","Не заполнено",IF(C4="Да","ОК",IF(C4="Нет","Разрыв","Не ясно")))</f>
        <v/>
      </c>
    </row>
    <row r="5">
      <c r="A5" s="19" t="inlineStr">
        <is>
          <t>Фильтр</t>
        </is>
      </c>
      <c r="B5" s="19" t="inlineStr">
        <is>
          <t>Понятно, почему вопрос должен попасть на уровень C-level.</t>
        </is>
      </c>
      <c r="C5" s="29" t="str"/>
      <c r="D5" s="29" t="str"/>
      <c r="E5" s="29" t="str"/>
      <c r="F5" s="29" t="str"/>
      <c r="G5" s="29" t="str"/>
      <c r="H5" s="19">
        <f>IF(C5="","Не заполнено",IF(C5="Да","ОК",IF(C5="Нет","Разрыв","Не ясно")))</f>
        <v/>
      </c>
    </row>
    <row r="6">
      <c r="A6" s="19" t="inlineStr">
        <is>
          <t>Владелец</t>
        </is>
      </c>
      <c r="B6" s="19" t="inlineStr">
        <is>
          <t>Назван владелец решения с мандатом.</t>
        </is>
      </c>
      <c r="C6" s="29" t="str"/>
      <c r="D6" s="29" t="str"/>
      <c r="E6" s="29" t="str"/>
      <c r="F6" s="29" t="str"/>
      <c r="G6" s="29" t="str"/>
      <c r="H6" s="19">
        <f>IF(C6="","Не заполнено",IF(C6="Да","ОК",IF(C6="Нет","Разрыв","Не ясно")))</f>
        <v/>
      </c>
    </row>
    <row r="7">
      <c r="A7" s="19" t="inlineStr">
        <is>
          <t>Данные</t>
        </is>
      </c>
      <c r="B7" s="19" t="inlineStr">
        <is>
          <t>Есть Data Pack / пакет данных и единая версия фактов.</t>
        </is>
      </c>
      <c r="C7" s="29" t="str"/>
      <c r="D7" s="29" t="str"/>
      <c r="E7" s="29" t="str"/>
      <c r="F7" s="29" t="str"/>
      <c r="G7" s="29" t="str"/>
      <c r="H7" s="19">
        <f>IF(C7="","Не заполнено",IF(C7="Да","ОК",IF(C7="Нет","Разрыв","Не ясно")))</f>
        <v/>
      </c>
    </row>
    <row r="8">
      <c r="A8" s="19" t="inlineStr">
        <is>
          <t>Критерии</t>
        </is>
      </c>
      <c r="B8" s="19" t="inlineStr">
        <is>
          <t>Понятно, по каким критериям выбирается вариант.</t>
        </is>
      </c>
      <c r="C8" s="29" t="str"/>
      <c r="D8" s="29" t="str"/>
      <c r="E8" s="29" t="str"/>
      <c r="F8" s="29" t="str"/>
      <c r="G8" s="29" t="str"/>
      <c r="H8" s="19">
        <f>IF(C8="","Не заполнено",IF(C8="Да","ОК",IF(C8="Нет","Разрыв","Не ясно")))</f>
        <v/>
      </c>
    </row>
    <row r="9">
      <c r="A9" s="19" t="inlineStr">
        <is>
          <t>Решение</t>
        </is>
      </c>
      <c r="B9" s="19" t="inlineStr">
        <is>
          <t>Зафиксированы выбор, обязательства, срок и ответственные.</t>
        </is>
      </c>
      <c r="C9" s="29" t="str"/>
      <c r="D9" s="29" t="str"/>
      <c r="E9" s="29" t="str"/>
      <c r="F9" s="29" t="str"/>
      <c r="G9" s="29" t="str"/>
      <c r="H9" s="19">
        <f>IF(C9="","Не заполнено",IF(C9="Да","ОК",IF(C9="Нет","Разрыв","Не ясно")))</f>
        <v/>
      </c>
    </row>
    <row r="10">
      <c r="A10" s="19" t="inlineStr">
        <is>
          <t>Review / разбор</t>
        </is>
      </c>
      <c r="B10" s="19" t="inlineStr">
        <is>
          <t>Проверено исполнение, эффект, ошибка и урок.</t>
        </is>
      </c>
      <c r="C10" s="29" t="str"/>
      <c r="D10" s="29" t="str"/>
      <c r="E10" s="29" t="str"/>
      <c r="F10" s="29" t="str"/>
      <c r="G10" s="29" t="str"/>
      <c r="H10" s="19">
        <f>IF(C10="","Не заполнено",IF(C10="Да","ОК",IF(C10="Нет","Разрыв","Не ясно")))</f>
        <v/>
      </c>
    </row>
  </sheetData>
  <mergeCells count="1">
    <mergeCell ref="A1:H1"/>
  </mergeCells>
  <dataValidations count="2">
    <dataValidation sqref="C4:C10" showDropDown="0" showInputMessage="0" showErrorMessage="0" allowBlank="0" type="list">
      <formula1>'90_Справочник'!$F$2:$F$4</formula1>
    </dataValidation>
    <dataValidation sqref="F4:F10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24" customWidth="1" style="1" min="2" max="2"/>
    <col width="22" customWidth="1" style="1" min="3" max="3"/>
    <col width="28" customWidth="1" style="1" min="4" max="4"/>
    <col width="50" customWidth="1" style="1" min="5" max="5"/>
  </cols>
  <sheetData>
    <row r="1">
      <c r="A1" s="16" t="inlineStr">
        <is>
          <t>Расчёт Decision OS</t>
        </is>
      </c>
      <c r="F1" s="16" t="n"/>
      <c r="G1" s="16" t="n"/>
      <c r="H1" s="16" t="n"/>
      <c r="I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Источник</t>
        </is>
      </c>
      <c r="E3" s="18" t="inlineStr">
        <is>
          <t>Комментарий</t>
        </is>
      </c>
      <c r="F3" s="17" t="n"/>
      <c r="G3" s="23" t="inlineStr">
        <is>
          <t>Как читать расчет</t>
        </is>
      </c>
    </row>
    <row r="4">
      <c r="A4" s="19" t="inlineStr">
        <is>
          <t>Количество решений</t>
        </is>
      </c>
      <c r="B4" s="19">
        <f>COUNTA('02_Реестр_решений'!B4:B15)</f>
        <v/>
      </c>
      <c r="C4" s="19" t="inlineStr">
        <is>
          <t>1+</t>
        </is>
      </c>
      <c r="D4" s="19" t="inlineStr">
        <is>
          <t>02_Реестр_решений</t>
        </is>
      </c>
      <c r="E4" s="19" t="str"/>
      <c r="F4" s="17" t="n"/>
      <c r="G4" s="25" t="inlineStr">
        <is>
          <t>Decision OS Score показывает не качество всех решений компании, а зрелость C-level-контура решений.</t>
        </is>
      </c>
      <c r="H4" s="31" t="n"/>
      <c r="I4" s="32" t="n"/>
    </row>
    <row r="5">
      <c r="A5" s="19" t="inlineStr">
        <is>
          <t>Заполненность реестра</t>
        </is>
      </c>
      <c r="B5" s="20">
        <f>IFERROR(AVERAGE('02_Реестр_решений'!M4:M15),0)</f>
        <v/>
      </c>
      <c r="C5" s="19" t="inlineStr">
        <is>
          <t>80%+</t>
        </is>
      </c>
      <c r="D5" s="19" t="inlineStr">
        <is>
          <t>02_Реестр_решений</t>
        </is>
      </c>
      <c r="E5" s="19" t="str"/>
      <c r="F5" s="17" t="n"/>
      <c r="G5" s="25" t="inlineStr">
        <is>
          <t>Главный риск появляется автоматически: возврат к CEO, слабый цикл решения или локальные разрывы.</t>
        </is>
      </c>
      <c r="H5" s="31" t="n"/>
      <c r="I5" s="32" t="n"/>
    </row>
    <row r="6">
      <c r="A6" s="19" t="inlineStr">
        <is>
          <t>Готовность Decision Loop</t>
        </is>
      </c>
      <c r="B6" s="20">
        <f>IFERROR(COUNTIF('03_Decision_Loop'!C4:C10,"Да")/7,0)</f>
        <v/>
      </c>
      <c r="C6" s="19" t="inlineStr">
        <is>
          <t>80%+</t>
        </is>
      </c>
      <c r="D6" s="19" t="inlineStr">
        <is>
          <t>03_Decision_Loop</t>
        </is>
      </c>
      <c r="E6" s="19" t="str"/>
      <c r="F6" s="17" t="n"/>
      <c r="G6" s="17" t="n"/>
      <c r="H6" s="17" t="n"/>
      <c r="I6" s="17" t="n"/>
    </row>
    <row r="7">
      <c r="A7" s="19" t="inlineStr">
        <is>
          <t>Возвратов к CEO</t>
        </is>
      </c>
      <c r="B7" s="19">
        <f>COUNTIF('02_Реестр_решений'!I4:I15,"Да")</f>
        <v/>
      </c>
      <c r="C7" s="19" t="inlineStr">
        <is>
          <t>0</t>
        </is>
      </c>
      <c r="D7" s="19" t="inlineStr">
        <is>
          <t>02_Реестр_решений</t>
        </is>
      </c>
      <c r="E7" s="19" t="str"/>
      <c r="F7" s="17" t="n"/>
      <c r="G7" s="17" t="n"/>
      <c r="H7" s="17" t="n"/>
      <c r="I7" s="17" t="n"/>
    </row>
    <row r="8">
      <c r="A8" s="19" t="inlineStr">
        <is>
          <t>Средний риск решений</t>
        </is>
      </c>
      <c r="B8" s="19">
        <f>IFERROR(AVERAGE('02_Реестр_решений'!J4:J15),"")</f>
        <v/>
      </c>
      <c r="C8" s="19" t="inlineStr">
        <is>
          <t>0-3</t>
        </is>
      </c>
      <c r="D8" s="19" t="inlineStr">
        <is>
          <t>02_Реестр_решений</t>
        </is>
      </c>
      <c r="E8" s="19" t="str"/>
      <c r="F8" s="17" t="n"/>
      <c r="G8" s="17" t="n"/>
      <c r="H8" s="17" t="n"/>
      <c r="I8" s="17" t="n"/>
    </row>
    <row r="9">
      <c r="A9" s="19" t="inlineStr">
        <is>
          <t>Decision OS Score</t>
        </is>
      </c>
      <c r="B9" s="21">
        <f>IF(B4=0,"",ROUND(AVERAGE(B5:B6)*100-IF(B7&gt;0,10,0)-IF(B8&gt;2,10,0),0))</f>
        <v/>
      </c>
      <c r="C9" s="19" t="inlineStr">
        <is>
          <t>75+</t>
        </is>
      </c>
      <c r="D9" s="19" t="inlineStr">
        <is>
          <t>Сводный показатель</t>
        </is>
      </c>
      <c r="E9" s="19" t="str"/>
      <c r="F9" s="17" t="n"/>
      <c r="G9" s="17" t="n"/>
      <c r="H9" s="17" t="n"/>
      <c r="I9" s="17" t="n"/>
    </row>
    <row r="10">
      <c r="A10" s="19" t="inlineStr">
        <is>
          <t>Статус</t>
        </is>
      </c>
      <c r="B10" s="19">
        <f>IF(B9="","",IF(B9&gt;=75,"GO / запускать",IF(B9&gt;=50,"HOLD / пауза","NO-GO / остановить")))</f>
        <v/>
      </c>
      <c r="C10" s="19" t="inlineStr">
        <is>
          <t>GO / HOLD / NO-GO</t>
        </is>
      </c>
      <c r="D10" s="19" t="inlineStr">
        <is>
          <t>Порог Score</t>
        </is>
      </c>
      <c r="E10" s="19" t="str"/>
      <c r="F10" s="17" t="n"/>
      <c r="G10" s="17" t="n"/>
      <c r="H10" s="17" t="n"/>
      <c r="I10" s="17" t="n"/>
    </row>
    <row r="11">
      <c r="A11" s="19" t="inlineStr">
        <is>
          <t>Главный риск</t>
        </is>
      </c>
      <c r="B11" s="19">
        <f>IF(B9="","",IF(B7&gt;0,"Решения возвращаются к CEO",IF(B9&lt;50,"Decision OS не удерживает путь решения",IF(B9&lt;75,"Есть разрывы в данных, владельце или review / разборе","Разрывы локальны"))))</f>
        <v/>
      </c>
      <c r="C11" s="19" t="inlineStr">
        <is>
          <t>Автовывод</t>
        </is>
      </c>
      <c r="D11" s="19" t="inlineStr">
        <is>
          <t>Score + возврат к CEO</t>
        </is>
      </c>
      <c r="E11" s="19" t="str"/>
      <c r="F11" s="17" t="n"/>
      <c r="G11" s="17" t="n"/>
      <c r="H11" s="17" t="n"/>
      <c r="I11" s="17" t="n"/>
    </row>
    <row r="12">
      <c r="A12" s="19" t="inlineStr">
        <is>
          <t>Рекомендуемый следующий блок</t>
        </is>
      </c>
      <c r="B12" s="19">
        <f>'05_Отчет'!B9</f>
        <v/>
      </c>
      <c r="C12" s="19" t="inlineStr">
        <is>
          <t>Ручной выбор</t>
        </is>
      </c>
      <c r="D12" s="19" t="inlineStr">
        <is>
          <t>05_Отчет</t>
        </is>
      </c>
      <c r="E12" s="19" t="str"/>
      <c r="F12" s="17" t="n"/>
      <c r="G12" s="17" t="n"/>
      <c r="H12" s="17" t="n"/>
      <c r="I12" s="17" t="n"/>
    </row>
    <row r="13">
      <c r="A13" s="19" t="inlineStr">
        <is>
          <t>Дата обновления</t>
        </is>
      </c>
      <c r="B13" s="19">
        <f>'01_Ввод'!B5</f>
        <v/>
      </c>
      <c r="C13" s="19" t="inlineStr">
        <is>
          <t>Дата</t>
        </is>
      </c>
      <c r="D13" s="19" t="inlineStr">
        <is>
          <t>01_Ввод</t>
        </is>
      </c>
      <c r="E13" s="19" t="str"/>
      <c r="F13" s="17" t="n"/>
      <c r="G13" s="17" t="n"/>
      <c r="H13" s="17" t="n"/>
      <c r="I13" s="17" t="n"/>
    </row>
    <row r="14">
      <c r="A14" s="19" t="n"/>
      <c r="B14" s="19" t="n"/>
      <c r="C14" s="19" t="n"/>
      <c r="D14" s="19" t="n"/>
      <c r="E14" s="19" t="n"/>
      <c r="F14" s="17" t="n"/>
      <c r="G14" s="17" t="n"/>
      <c r="H14" s="17" t="n"/>
      <c r="I14" s="17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6" customWidth="1" style="1" min="2" max="2"/>
    <col width="38" customWidth="1" style="1" min="3" max="3"/>
    <col width="38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Отчёт Блока 5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24" t="inlineStr">
        <is>
          <t>Поле</t>
        </is>
      </c>
      <c r="B3" s="24" t="inlineStr">
        <is>
          <t>Вывод</t>
        </is>
      </c>
      <c r="C3" s="17" t="n"/>
      <c r="D3" s="17" t="n"/>
      <c r="E3" s="17" t="n"/>
      <c r="F3" s="23" t="inlineStr">
        <is>
          <t>Формула вывода</t>
        </is>
      </c>
    </row>
    <row r="4">
      <c r="A4" s="19" t="inlineStr">
        <is>
          <t>Клиент</t>
        </is>
      </c>
      <c r="B4" s="19">
        <f>'01_Ввод'!B4</f>
        <v/>
      </c>
      <c r="C4" s="17" t="n"/>
      <c r="D4" s="17" t="n"/>
      <c r="E4" s="17" t="n"/>
      <c r="F4" s="25" t="inlineStr">
        <is>
          <t>Сигнал → владелец решения → данные → критерии → обязательство → review / разбор → следующий блок CLM.</t>
        </is>
      </c>
      <c r="G4" s="31" t="n"/>
      <c r="H4" s="32" t="n"/>
    </row>
    <row r="5">
      <c r="A5" s="19" t="inlineStr">
        <is>
          <t>Decision OS Score</t>
        </is>
      </c>
      <c r="B5" s="21">
        <f>'04_Расчет'!B9</f>
        <v/>
      </c>
      <c r="C5" s="17" t="n"/>
      <c r="D5" s="17" t="n"/>
      <c r="E5" s="17" t="n"/>
      <c r="F5" s="17" t="n"/>
      <c r="G5" s="17" t="n"/>
      <c r="H5" s="17" t="n"/>
    </row>
    <row r="6">
      <c r="A6" s="19" t="inlineStr">
        <is>
          <t>Статус</t>
        </is>
      </c>
      <c r="B6" s="19">
        <f>'04_Расчет'!B10</f>
        <v/>
      </c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Главный риск</t>
        </is>
      </c>
      <c r="B7" s="19">
        <f>'04_Расчет'!B11</f>
        <v/>
      </c>
      <c r="C7" s="17" t="n"/>
      <c r="D7" s="17" t="n"/>
      <c r="E7" s="17" t="n"/>
      <c r="F7" s="17" t="n"/>
      <c r="G7" s="17" t="n"/>
      <c r="H7" s="17" t="n"/>
    </row>
    <row r="8">
      <c r="A8" s="19" t="inlineStr">
        <is>
          <t>Рекомендуемый следующий блок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Комментарий консультанта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Первое действие 30 дней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Решение для 4 сторон</t>
        </is>
      </c>
      <c r="E12" s="17" t="n"/>
      <c r="F12" s="17" t="n"/>
      <c r="G12" s="17" t="n"/>
      <c r="H12" s="17" t="n"/>
    </row>
    <row r="13">
      <c r="A13" s="18" t="inlineStr">
        <is>
          <t>Сторона</t>
        </is>
      </c>
      <c r="B13" s="18" t="inlineStr">
        <is>
          <t>Что показать</t>
        </is>
      </c>
      <c r="C13" s="18" t="inlineStr">
        <is>
          <t>Что не включать</t>
        </is>
      </c>
      <c r="D13" s="18" t="inlineStr">
        <is>
          <t>Решение</t>
        </is>
      </c>
      <c r="E13" s="17" t="n"/>
      <c r="F13" s="17" t="n"/>
      <c r="G13" s="17" t="n"/>
      <c r="H13" s="17" t="n"/>
    </row>
    <row r="14">
      <c r="A14" s="19" t="inlineStr">
        <is>
          <t>CEO / генеральный директор</t>
        </is>
      </c>
      <c r="B14" s="19" t="inlineStr">
        <is>
          <t>Где решения возвращаются наверх и какой путь нужно закрепить</t>
        </is>
      </c>
      <c r="C14" s="19" t="inlineStr">
        <is>
          <t>Список всех операционных вопросов</t>
        </is>
      </c>
      <c r="D14" s="29" t="str"/>
      <c r="E14" s="17" t="n"/>
      <c r="F14" s="17" t="n"/>
      <c r="G14" s="17" t="n"/>
      <c r="H14" s="17" t="n"/>
    </row>
    <row r="15">
      <c r="A15" s="19" t="inlineStr">
        <is>
          <t>C-level-команда / первый управленческий круг</t>
        </is>
      </c>
      <c r="B15" s="19" t="inlineStr">
        <is>
          <t>Единый путь решения, владельцы, данные, критерии и review / разбор</t>
        </is>
      </c>
      <c r="C15" s="19" t="inlineStr">
        <is>
          <t>Персональные обвинения</t>
        </is>
      </c>
      <c r="D15" s="29" t="str"/>
      <c r="E15" s="17" t="n"/>
      <c r="F15" s="17" t="n"/>
      <c r="G15" s="17" t="n"/>
      <c r="H15" s="17" t="n"/>
    </row>
    <row r="16">
      <c r="A16" s="19" t="inlineStr">
        <is>
          <t>Владелец компании</t>
        </is>
      </c>
      <c r="B16" s="19" t="inlineStr">
        <is>
          <t>Риск потери управляемости из-за слабых решений</t>
        </is>
      </c>
      <c r="C16" s="19" t="inlineStr">
        <is>
          <t>Технические детали таблиц</t>
        </is>
      </c>
      <c r="D16" s="29" t="str"/>
      <c r="E16" s="17" t="n"/>
      <c r="F16" s="17" t="n"/>
      <c r="G16" s="17" t="n"/>
      <c r="H16" s="17" t="n"/>
    </row>
    <row r="17">
      <c r="A17" s="19" t="inlineStr">
        <is>
          <t>Board / совет директоров</t>
        </is>
      </c>
      <c r="B17" s="19" t="inlineStr">
        <is>
          <t>Статус Decision OS и критические управленческие риски</t>
        </is>
      </c>
      <c r="C17" s="19" t="inlineStr">
        <is>
          <t>Операционные мелочи</t>
        </is>
      </c>
      <c r="D17" s="29" t="str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22" t="inlineStr">
        <is>
          <t>План 30 / 60 / 90</t>
        </is>
      </c>
      <c r="E19" s="17" t="n"/>
      <c r="F19" s="17" t="n"/>
      <c r="G19" s="17" t="n"/>
      <c r="H19" s="17" t="n"/>
    </row>
    <row r="20">
      <c r="A20" s="18" t="inlineStr">
        <is>
          <t>Горизонт</t>
        </is>
      </c>
      <c r="B20" s="18" t="inlineStr">
        <is>
          <t>Цель</t>
        </is>
      </c>
      <c r="C20" s="18" t="inlineStr">
        <is>
          <t>Действие</t>
        </is>
      </c>
      <c r="D20" s="18" t="inlineStr">
        <is>
          <t>Метрика</t>
        </is>
      </c>
      <c r="E20" s="17" t="n"/>
      <c r="F20" s="17" t="n"/>
      <c r="G20" s="17" t="n"/>
      <c r="H20" s="17" t="n"/>
    </row>
    <row r="21">
      <c r="A21" s="19" t="inlineStr">
        <is>
          <t>30 дней</t>
        </is>
      </c>
      <c r="B21" s="19" t="inlineStr">
        <is>
          <t>Закрепить вход, владельца и критерии решений</t>
        </is>
      </c>
      <c r="C21" s="29" t="str"/>
      <c r="D21" s="29" t="str"/>
      <c r="E21" s="17" t="n"/>
      <c r="F21" s="17" t="n"/>
      <c r="G21" s="17" t="n"/>
      <c r="H21" s="17" t="n"/>
    </row>
    <row r="22">
      <c r="A22" s="19" t="inlineStr">
        <is>
          <t>60 дней</t>
        </is>
      </c>
      <c r="B22" s="19" t="inlineStr">
        <is>
          <t>Встроить Decision Loop и review / разбор</t>
        </is>
      </c>
      <c r="C22" s="29" t="str"/>
      <c r="D22" s="29" t="str"/>
      <c r="E22" s="17" t="n"/>
      <c r="F22" s="17" t="n"/>
      <c r="G22" s="17" t="n"/>
      <c r="H22" s="17" t="n"/>
    </row>
    <row r="23">
      <c r="A23" s="19" t="inlineStr">
        <is>
          <t>90 дней</t>
        </is>
      </c>
      <c r="B23" s="19" t="inlineStr">
        <is>
          <t>Проверить исполнение, память решений и снижение возврата к CEO</t>
        </is>
      </c>
      <c r="C23" s="29" t="str"/>
      <c r="D23" s="29" t="str"/>
      <c r="E23" s="17" t="n"/>
      <c r="F23" s="17" t="n"/>
      <c r="G23" s="17" t="n"/>
      <c r="H23" s="17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8" showDropDown="0" showInputMessage="0" showErrorMessage="0" allowBlank="0" type="list">
      <formula1>"Блок 6,Блок 7,Блок 8,Блок 9,Блок 10,Блок 11"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70" customWidth="1" style="1" min="2" max="2"/>
    <col width="4" customWidth="1" style="1" min="3" max="3"/>
    <col width="18" customWidth="1" style="1" min="4" max="4"/>
    <col width="10" customWidth="1" style="1" min="5" max="5"/>
    <col width="14" customWidth="1" style="1" min="6" max="6"/>
    <col width="4" customWidth="1" style="1" min="7" max="7"/>
    <col width="24" customWidth="1" style="1" min="8" max="8"/>
    <col width="82" customWidth="1" style="1" min="9" max="9"/>
  </cols>
  <sheetData>
    <row r="1">
      <c r="A1" s="18" t="inlineStr">
        <is>
          <t>Тип решения</t>
        </is>
      </c>
      <c r="B1" s="18" t="inlineStr">
        <is>
          <t>Смысл</t>
        </is>
      </c>
      <c r="C1" s="16" t="n"/>
      <c r="D1" s="24" t="inlineStr">
        <is>
          <t>Статус</t>
        </is>
      </c>
      <c r="E1" s="24" t="inlineStr">
        <is>
          <t>Оценка</t>
        </is>
      </c>
      <c r="F1" s="24" t="inlineStr">
        <is>
          <t>Да / нет</t>
        </is>
      </c>
      <c r="G1" s="16" t="n"/>
      <c r="H1" s="24" t="inlineStr">
        <is>
          <t>Слой Decision Loop</t>
        </is>
      </c>
      <c r="I1" s="24" t="inlineStr">
        <is>
          <t>Смысл</t>
        </is>
      </c>
    </row>
    <row r="2">
      <c r="A2" s="19" t="inlineStr">
        <is>
          <t>Стратегическое</t>
        </is>
      </c>
      <c r="B2" s="19" t="inlineStr">
        <is>
          <t>Меняет направление, модель бизнеса, крупный ресурс или риск.</t>
        </is>
      </c>
      <c r="C2" s="17" t="n"/>
      <c r="D2" s="19" t="inlineStr">
        <is>
          <t>В работе</t>
        </is>
      </c>
      <c r="E2" s="19" t="n">
        <v>0</v>
      </c>
      <c r="F2" s="19" t="inlineStr">
        <is>
          <t>Да</t>
        </is>
      </c>
      <c r="G2" s="17" t="n"/>
      <c r="H2" s="19" t="inlineStr">
        <is>
          <t>Вход</t>
        </is>
      </c>
      <c r="I2" s="19" t="inlineStr">
        <is>
          <t>Вопрос или сигнал сформулирован как управленческое решение.</t>
        </is>
      </c>
    </row>
    <row r="3">
      <c r="A3" s="19" t="inlineStr">
        <is>
          <t>Финансовое</t>
        </is>
      </c>
      <c r="B3" s="19" t="inlineStr">
        <is>
          <t>Влияет на деньги, cash flow / денежный поток, инвестиции или прибыль.</t>
        </is>
      </c>
      <c r="C3" s="17" t="n"/>
      <c r="D3" s="19" t="inlineStr">
        <is>
          <t>Решено</t>
        </is>
      </c>
      <c r="E3" s="19" t="n">
        <v>1</v>
      </c>
      <c r="F3" s="19" t="inlineStr">
        <is>
          <t>Нет</t>
        </is>
      </c>
      <c r="G3" s="17" t="n"/>
      <c r="H3" s="19" t="inlineStr">
        <is>
          <t>Фильтр</t>
        </is>
      </c>
      <c r="I3" s="19" t="inlineStr">
        <is>
          <t>Понятно, почему вопрос должен попасть на уровень C-level.</t>
        </is>
      </c>
    </row>
    <row r="4">
      <c r="A4" s="19" t="inlineStr">
        <is>
          <t>Клиентское</t>
        </is>
      </c>
      <c r="B4" s="19" t="inlineStr">
        <is>
          <t>Влияет на клиента, продукт, рынок или выручку.</t>
        </is>
      </c>
      <c r="C4" s="17" t="n"/>
      <c r="D4" s="19" t="inlineStr">
        <is>
          <t>Остановлено</t>
        </is>
      </c>
      <c r="E4" s="19" t="n">
        <v>2</v>
      </c>
      <c r="F4" s="19" t="inlineStr">
        <is>
          <t>Не ясно</t>
        </is>
      </c>
      <c r="G4" s="17" t="n"/>
      <c r="H4" s="19" t="inlineStr">
        <is>
          <t>Владелец</t>
        </is>
      </c>
      <c r="I4" s="19" t="inlineStr">
        <is>
          <t>Назван владелец решения с мандатом.</t>
        </is>
      </c>
    </row>
    <row r="5">
      <c r="A5" s="19" t="inlineStr">
        <is>
          <t>Операционное</t>
        </is>
      </c>
      <c r="B5" s="19" t="inlineStr">
        <is>
          <t>Влияет на исполнение, процессы, сроки или качество.</t>
        </is>
      </c>
      <c r="C5" s="17" t="n"/>
      <c r="D5" s="19" t="n"/>
      <c r="E5" s="19" t="n">
        <v>3</v>
      </c>
      <c r="F5" s="19" t="n"/>
      <c r="G5" s="17" t="n"/>
      <c r="H5" s="19" t="inlineStr">
        <is>
          <t>Данные</t>
        </is>
      </c>
      <c r="I5" s="19" t="inlineStr">
        <is>
          <t>Есть Data Pack / пакет данных и единая версия фактов.</t>
        </is>
      </c>
    </row>
    <row r="6">
      <c r="A6" s="19" t="inlineStr">
        <is>
          <t>Рисковое</t>
        </is>
      </c>
      <c r="B6" s="19" t="inlineStr">
        <is>
          <t>Влияет на безопасность, устойчивость, комплаенс или репутацию.</t>
        </is>
      </c>
      <c r="C6" s="17" t="n"/>
      <c r="D6" s="17" t="n"/>
      <c r="E6" s="17" t="n"/>
      <c r="F6" s="17" t="n"/>
      <c r="G6" s="17" t="n"/>
      <c r="H6" s="19" t="inlineStr">
        <is>
          <t>Критерии</t>
        </is>
      </c>
      <c r="I6" s="19" t="inlineStr">
        <is>
          <t>Понятно, по каким критериям выбирается вариант.</t>
        </is>
      </c>
    </row>
    <row r="7">
      <c r="A7" s="19" t="inlineStr">
        <is>
          <t>AI / ИИ</t>
        </is>
      </c>
      <c r="B7" s="19" t="inlineStr">
        <is>
          <t>Связано с AI / ИИ-сценарием, данными, автоматизацией или выводом модели.</t>
        </is>
      </c>
      <c r="C7" s="17" t="n"/>
      <c r="D7" s="17" t="n"/>
      <c r="E7" s="17" t="n"/>
      <c r="F7" s="17" t="n"/>
      <c r="G7" s="17" t="n"/>
      <c r="H7" s="19" t="inlineStr">
        <is>
          <t>Решение</t>
        </is>
      </c>
      <c r="I7" s="19" t="inlineStr">
        <is>
          <t>Зафиксированы выбор, обязательства, срок и ответственные.</t>
        </is>
      </c>
    </row>
    <row r="8">
      <c r="A8" s="17" t="n"/>
      <c r="B8" s="17" t="n"/>
      <c r="C8" s="17" t="n"/>
      <c r="D8" s="17" t="n"/>
      <c r="E8" s="17" t="n"/>
      <c r="F8" s="17" t="n"/>
      <c r="G8" s="17" t="n"/>
      <c r="H8" s="19" t="inlineStr">
        <is>
          <t>Review / разбор</t>
        </is>
      </c>
      <c r="I8" s="19" t="inlineStr">
        <is>
          <t>Проверено исполнение, эффект, ошибка и урок.</t>
        </is>
      </c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CLM_BLOCK_05_DECISION_OS_TOOLKIT_RELEASE_V1_LIGHT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2026-07-07T13:35:24Z</dcterms:created>
  <dcterms:modified xmlns:dcterms="http://purl.org/dc/terms/" xmlns:xsi="http://www.w3.org/2001/XMLSchema-instance" xsi:type="dcterms:W3CDTF">2026-07-21T08:33:50Z</dcterms:modified>
</cp:coreProperties>
</file>