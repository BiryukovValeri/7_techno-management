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Интерфейсы" sheetId="3" state="visible" r:id="rId3"/>
    <sheet xmlns:r="http://schemas.openxmlformats.org/officeDocument/2006/relationships" name="03_Ритм_доверие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165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65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Доля заполненных интерфейсов ролей.</t>
      </text>
    </comment>
    <comment ref="B6" authorId="0" shapeId="0">
      <text>
        <t>Средний балл по карте интерфейсов: оценка синхронизации и риск.</t>
      </text>
    </comment>
    <comment ref="B8" authorId="0" shapeId="0">
      <text>
        <t>Synchronization Score — рабочий сигнал зрелости синхронизации C-level-ядра.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синхронизационного блока.</t>
      </text>
    </comment>
    <comment ref="B6" authorId="0" shapeId="0">
      <text>
        <t>Главный разрыв из Блока 3.</t>
      </text>
    </comment>
    <comment ref="B7" authorId="0" shapeId="0">
      <text>
        <t>Риск роли или назначения из Блока 4.</t>
      </text>
    </comment>
    <comment ref="B8" authorId="0" shapeId="0">
      <text>
        <t>Какой сбой решений пришёл из Блока 5.</t>
      </text>
    </comment>
    <comment ref="B9" authorId="0" shapeId="0">
      <text>
        <t>Главная связка ролей, где виден конфликт KPI, данных, решений или доверия.</t>
      </text>
    </comment>
    <comment ref="B10" authorId="0" shapeId="0">
      <text>
        <t>Кто отвечает за восстановление синхронизации.</t>
      </text>
    </comment>
    <comment ref="B11" authorId="0" shapeId="0">
      <text>
        <t>Как часто проходит синхронизационный ритм.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C3" authorId="0" shapeId="0">
      <text>
        <t>Какой локальный KPI мешает общему результату.</t>
      </text>
    </comment>
    <comment ref="D3" authorId="0" shapeId="0">
      <text>
        <t>Какие данные должны быть общими для связки ролей.</t>
      </text>
    </comment>
    <comment ref="E3" authorId="0" shapeId="0">
      <text>
        <t>Какое решение должно быть общим, а не функциональным.</t>
      </text>
    </comment>
    <comment ref="F3" authorId="0" shapeId="0">
      <text>
        <t>Кто владелец стыка между ролями.</t>
      </text>
    </comment>
    <comment ref="G3" authorId="0" shapeId="0">
      <text>
        <t>0 — интерфейс не работает; 3 — работает и подтверждается фактами.</t>
      </text>
    </comment>
    <comment ref="H3" authorId="0" shapeId="0">
      <text>
        <t>0 — риска нет; 3 — высокий риск потери результата.</t>
      </text>
    </comment>
    <comment ref="I3" authorId="0" shapeId="0">
      <text>
        <t>Факт, источник или короткий комментарий.</t>
      </text>
    </comment>
    <comment ref="J3" authorId="0" shapeId="0">
      <text>
        <t>Автоматический балл. Не заполнять вручную.</t>
      </text>
    </comment>
    <comment ref="K3" authorId="0" shapeId="0">
      <text>
        <t>Автоматический статус.</t>
      </text>
    </comment>
    <comment ref="C4" authorId="0" shapeId="0">
      <text>
        <t>Описывайте конфликт KPI как управленческий разрыв, а не претензию к человеку.</t>
      </text>
    </comment>
    <comment ref="F4" authorId="0" shapeId="0">
      <text>
        <t>Если владельца стыка нет, связка будет возвращаться к CEO.</t>
      </text>
    </comment>
    <comment ref="C5" authorId="0" shapeId="0">
      <text>
        <t>Описывайте конфликт KPI как управленческий разрыв, а не претензию к человеку.</t>
      </text>
    </comment>
    <comment ref="F5" authorId="0" shapeId="0">
      <text>
        <t>Если владельца стыка нет, связка будет возвращаться к CEO.</t>
      </text>
    </comment>
    <comment ref="C6" authorId="0" shapeId="0">
      <text>
        <t>Описывайте конфликт KPI как управленческий разрыв, а не претензию к человеку.</t>
      </text>
    </comment>
    <comment ref="F6" authorId="0" shapeId="0">
      <text>
        <t>Если владельца стыка нет, связка будет возвращаться к CEO.</t>
      </text>
    </comment>
    <comment ref="C7" authorId="0" shapeId="0">
      <text>
        <t>Описывайте конфликт KPI как управленческий разрыв, а не претензию к человеку.</t>
      </text>
    </comment>
    <comment ref="F7" authorId="0" shapeId="0">
      <text>
        <t>Если владельца стыка нет, связка будет возвращаться к CEO.</t>
      </text>
    </comment>
    <comment ref="C8" authorId="0" shapeId="0">
      <text>
        <t>Описывайте конфликт KPI как управленческий разрыв, а не претензию к человеку.</t>
      </text>
    </comment>
    <comment ref="F8" authorId="0" shapeId="0">
      <text>
        <t>Если владельца стыка нет, связка будет возвращаться к CEO.</t>
      </text>
    </comment>
    <comment ref="C9" authorId="0" shapeId="0">
      <text>
        <t>Описывайте конфликт KPI как управленческий разрыв, а не претензию к человеку.</t>
      </text>
    </comment>
    <comment ref="F9" authorId="0" shapeId="0">
      <text>
        <t>Если владельца стыка нет, связка будет возвращаться к CEO.</t>
      </text>
    </comment>
    <comment ref="C10" authorId="0" shapeId="0">
      <text>
        <t>Описывайте конфликт KPI как управленческий разрыв, а не претензию к человеку.</t>
      </text>
    </comment>
    <comment ref="F10" authorId="0" shapeId="0">
      <text>
        <t>Если владельца стыка нет, связка будет возвращаться к CEO.</t>
      </text>
    </comment>
    <comment ref="C11" authorId="0" shapeId="0">
      <text>
        <t>Описывайте конфликт KPI как управленческий разрыв, а не претензию к человеку.</t>
      </text>
    </comment>
    <comment ref="F11" authorId="0" shapeId="0">
      <text>
        <t>Если владельца стыка нет, связка будет возвращаться к CEO.</t>
      </text>
    </comment>
    <comment ref="C12" authorId="0" shapeId="0">
      <text>
        <t>Описывайте конфликт KPI как управленческий разрыв, а не претензию к человеку.</t>
      </text>
    </comment>
    <comment ref="F12" authorId="0" shapeId="0">
      <text>
        <t>Если владельца стыка нет, связка будет возвращаться к CEO.</t>
      </text>
    </comment>
    <comment ref="C13" authorId="0" shapeId="0">
      <text>
        <t>Описывайте конфликт KPI как управленческий разрыв, а не претензию к человеку.</t>
      </text>
    </comment>
    <comment ref="F13" authorId="0" shapeId="0">
      <text>
        <t>Если владельца стыка нет, связка будет возвращаться к CEO.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C3" authorId="0" shapeId="0">
      <text>
        <t>Оценка 0-3 по фактам.</t>
      </text>
    </comment>
    <comment ref="D3" authorId="0" shapeId="0">
      <text>
        <t>Кто отвечает за этот слой синхронизации.</t>
      </text>
    </comment>
    <comment ref="E3" authorId="0" shapeId="0">
      <text>
        <t>Источник: протокол, данные, наблюдение, обязательство, review / разбор.</t>
      </text>
    </comment>
    <comment ref="F3" authorId="0" shapeId="0">
      <text>
        <t>0 — риска нет; 3 — высокий риск повторного конфликта.</t>
      </text>
    </comment>
    <comment ref="G3" authorId="0" shapeId="0">
      <text>
        <t>Короткий факт или комментарий.</t>
      </text>
    </comment>
    <comment ref="H3" authorId="0" shapeId="0">
      <text>
        <t>Автоматический статус.</t>
      </text>
    </comment>
    <comment ref="C4" authorId="0" shapeId="0">
      <text>
        <t>Не ставьте оценку без источника.</t>
      </text>
    </comment>
    <comment ref="C5" authorId="0" shapeId="0">
      <text>
        <t>Не ставьте оценку без источника.</t>
      </text>
    </comment>
    <comment ref="C6" authorId="0" shapeId="0">
      <text>
        <t>Не ставьте оценку без источника.</t>
      </text>
    </comment>
    <comment ref="C7" authorId="0" shapeId="0">
      <text>
        <t>Не ставьте оценку без источника.</t>
      </text>
    </comment>
    <comment ref="C8" authorId="0" shapeId="0">
      <text>
        <t>Не ставьте оценку без источника.</t>
      </text>
    </comment>
    <comment ref="C9" authorId="0" shapeId="0">
      <text>
        <t>Не ставьте оценку без источника.</t>
      </text>
    </comment>
    <comment ref="C10" authorId="0" shapeId="0">
      <text>
        <t>Не ставьте оценку без источника.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 по главному разрыву. Для Блока 6 чаще всего это Блок 7 или Блок 8.</t>
      </text>
    </comment>
    <comment ref="B10" authorId="0" shapeId="0">
      <text>
        <t>Первое действие должно закрывать конкретный интерфейс ролей, KPI или ритм.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Типовые связки ролей для первичной диагностики.</t>
      </text>
    </comment>
    <comment ref="H1" authorId="0" shapeId="0">
      <text>
        <t>Следующие блоки по результатам синхронизации.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2" customWidth="1" style="1" min="2" max="2"/>
    <col width="22" customWidth="1" style="1" min="3" max="3"/>
    <col width="5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7" t="inlineStr">
        <is>
          <t>CLM Блок 6. Панель синхронизации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Показатель</t>
        </is>
      </c>
      <c r="B3" s="19" t="inlineStr">
        <is>
          <t>Значение</t>
        </is>
      </c>
      <c r="C3" s="19" t="inlineStr">
        <is>
          <t>Норма</t>
        </is>
      </c>
      <c r="D3" s="19" t="inlineStr">
        <is>
          <t>Комментарий</t>
        </is>
      </c>
      <c r="E3" s="18" t="n"/>
      <c r="F3" s="18" t="n"/>
      <c r="G3" s="18" t="n"/>
      <c r="H3" s="18" t="n"/>
    </row>
    <row r="4">
      <c r="A4" s="20" t="inlineStr">
        <is>
          <t>Клиент</t>
        </is>
      </c>
      <c r="B4" s="20">
        <f>'01_Ввод'!B4</f>
        <v/>
      </c>
      <c r="C4" s="20" t="str"/>
      <c r="D4" s="20" t="str"/>
      <c r="E4" s="18" t="n"/>
      <c r="F4" s="18" t="n"/>
      <c r="G4" s="18" t="n"/>
      <c r="H4" s="18" t="n"/>
    </row>
    <row r="5">
      <c r="A5" s="20" t="inlineStr">
        <is>
          <t>Заполненность интерфейсов</t>
        </is>
      </c>
      <c r="B5" s="21">
        <f>'04_Расчет'!B4</f>
        <v/>
      </c>
      <c r="C5" s="20" t="inlineStr">
        <is>
          <t>80%+</t>
        </is>
      </c>
      <c r="D5" s="20" t="str"/>
      <c r="E5" s="18" t="n"/>
      <c r="F5" s="18" t="n"/>
      <c r="G5" s="18" t="n"/>
      <c r="H5" s="18" t="n"/>
    </row>
    <row r="6">
      <c r="A6" s="20" t="inlineStr">
        <is>
          <t>Средний балл интерфейсов</t>
        </is>
      </c>
      <c r="B6" s="22">
        <f>'04_Расчет'!B5</f>
        <v/>
      </c>
      <c r="C6" s="20" t="inlineStr">
        <is>
          <t>2.3+</t>
        </is>
      </c>
      <c r="D6" s="20" t="str"/>
      <c r="E6" s="18" t="n"/>
      <c r="F6" s="18" t="n"/>
      <c r="G6" s="18" t="n"/>
      <c r="H6" s="18" t="n"/>
    </row>
    <row r="7">
      <c r="A7" s="20" t="inlineStr">
        <is>
          <t>Критичные зоны</t>
        </is>
      </c>
      <c r="B7" s="20">
        <f>'04_Расчет'!B7+'04_Расчет'!B8</f>
        <v/>
      </c>
      <c r="C7" s="20" t="inlineStr">
        <is>
          <t>0</t>
        </is>
      </c>
      <c r="D7" s="20" t="str"/>
      <c r="E7" s="18" t="n"/>
      <c r="F7" s="18" t="n"/>
      <c r="G7" s="18" t="n"/>
      <c r="H7" s="18" t="n"/>
    </row>
    <row r="8">
      <c r="A8" s="20" t="inlineStr">
        <is>
          <t>Synchronization Score</t>
        </is>
      </c>
      <c r="B8" s="23">
        <f>'04_Расчет'!B9</f>
        <v/>
      </c>
      <c r="C8" s="20" t="inlineStr">
        <is>
          <t>75+</t>
        </is>
      </c>
      <c r="D8" s="20" t="str"/>
      <c r="E8" s="18" t="n"/>
      <c r="F8" s="18" t="n"/>
      <c r="G8" s="18" t="n"/>
      <c r="H8" s="18" t="n"/>
    </row>
    <row r="9">
      <c r="A9" s="20" t="inlineStr">
        <is>
          <t>Статус</t>
        </is>
      </c>
      <c r="B9" s="20">
        <f>'04_Расчет'!B10</f>
        <v/>
      </c>
      <c r="C9" s="20" t="inlineStr">
        <is>
          <t>GO / HOLD / NO-GO</t>
        </is>
      </c>
      <c r="D9" s="20" t="str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24" t="inlineStr">
        <is>
          <t>Контроль заполнения</t>
        </is>
      </c>
      <c r="E11" s="18" t="n"/>
      <c r="F11" s="25" t="inlineStr">
        <is>
          <t>Что проверяет Блок 6</t>
        </is>
      </c>
    </row>
    <row r="12">
      <c r="A12" s="26" t="inlineStr">
        <is>
          <t>Слой</t>
        </is>
      </c>
      <c r="B12" s="26" t="inlineStr">
        <is>
          <t>Заполненность / число</t>
        </is>
      </c>
      <c r="C12" s="26" t="inlineStr">
        <is>
          <t>Норма</t>
        </is>
      </c>
      <c r="D12" s="26" t="inlineStr">
        <is>
          <t>Комментарий</t>
        </is>
      </c>
      <c r="E12" s="18" t="n"/>
      <c r="F12" s="27" t="inlineStr">
        <is>
          <t>Блок 6 проверяет не личные отношения, а рабочие интерфейсы ролей: KPI / показатели, данные, решения, обязательства и доверие.</t>
        </is>
      </c>
      <c r="G12" s="33" t="n"/>
      <c r="H12" s="34" t="n"/>
    </row>
    <row r="13">
      <c r="A13" s="20" t="inlineStr">
        <is>
          <t>Интерфейсы ролей</t>
        </is>
      </c>
      <c r="B13" s="21">
        <f>'04_Расчет'!B4</f>
        <v/>
      </c>
      <c r="C13" s="20" t="inlineStr">
        <is>
          <t>80%+</t>
        </is>
      </c>
      <c r="D13" s="20" t="str"/>
      <c r="E13" s="18" t="n"/>
      <c r="F13" s="27" t="inlineStr">
        <is>
          <t>Если связка ролей ломается под нагрузкой, это вход в Блок 7. Если держится только на CEO — вход в Блок 8.</t>
        </is>
      </c>
      <c r="G13" s="33" t="n"/>
      <c r="H13" s="34" t="n"/>
    </row>
    <row r="14">
      <c r="A14" s="20" t="inlineStr">
        <is>
          <t>Ритм и доверие</t>
        </is>
      </c>
      <c r="B14" s="22">
        <f>'04_Расчет'!B6</f>
        <v/>
      </c>
      <c r="C14" s="20" t="inlineStr">
        <is>
          <t>2.3+</t>
        </is>
      </c>
      <c r="D14" s="20" t="str"/>
      <c r="E14" s="18" t="n"/>
      <c r="F14" s="18" t="n"/>
      <c r="G14" s="18" t="n"/>
      <c r="H14" s="18" t="n"/>
    </row>
    <row r="15">
      <c r="A15" s="20" t="inlineStr">
        <is>
          <t>Критичные зоны</t>
        </is>
      </c>
      <c r="B15" s="20">
        <f>'04_Расчет'!B7+'04_Расчет'!B8</f>
        <v/>
      </c>
      <c r="C15" s="20" t="inlineStr">
        <is>
          <t>0</t>
        </is>
      </c>
      <c r="D15" s="20" t="str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30" t="inlineStr">
        <is>
          <t>Как пользоваться</t>
        </is>
      </c>
    </row>
    <row r="18">
      <c r="A18" s="20" t="inlineStr">
        <is>
          <t>1. Заполните 01_Ввод: разрывы из Блоков 3–5 и главную конфликтующую связку.</t>
        </is>
      </c>
      <c r="B18" s="20" t="str"/>
      <c r="C18" s="20" t="str"/>
      <c r="D18" s="20" t="str"/>
      <c r="E18" s="20" t="str"/>
      <c r="F18" s="20" t="str"/>
      <c r="G18" s="20" t="str"/>
      <c r="H18" s="20" t="str"/>
    </row>
    <row r="19">
      <c r="A19" s="20" t="inlineStr">
        <is>
          <t>2. На 02_Интерфейсы оцените связки ролей, KPI, данные, решения и владельца стыка.</t>
        </is>
      </c>
      <c r="B19" s="20" t="str"/>
      <c r="C19" s="20" t="str"/>
      <c r="D19" s="20" t="str"/>
      <c r="E19" s="20" t="str"/>
      <c r="F19" s="20" t="str"/>
      <c r="G19" s="20" t="str"/>
      <c r="H19" s="20" t="str"/>
    </row>
    <row r="20">
      <c r="A20" s="20" t="inlineStr">
        <is>
          <t>3. На 03_Ритм_доверие проверьте обязательства, доверие и регулярный review / разбор.</t>
        </is>
      </c>
      <c r="B20" s="20" t="str"/>
      <c r="C20" s="20" t="str"/>
      <c r="D20" s="20" t="str"/>
      <c r="E20" s="20" t="str"/>
      <c r="F20" s="20" t="str"/>
      <c r="G20" s="20" t="str"/>
      <c r="H20" s="20" t="str"/>
    </row>
    <row r="21">
      <c r="A21" s="20" t="inlineStr">
        <is>
          <t>4. 04_Расчет не заполняется вручную.</t>
        </is>
      </c>
      <c r="B21" s="20" t="str"/>
      <c r="C21" s="20" t="str"/>
      <c r="D21" s="20" t="str"/>
      <c r="E21" s="20" t="str"/>
      <c r="F21" s="20" t="str"/>
      <c r="G21" s="20" t="str"/>
      <c r="H21" s="20" t="str"/>
    </row>
    <row r="22">
      <c r="A22" s="20" t="inlineStr">
        <is>
          <t>5. На 05_Отчет выберите следующий блок: чаще всего Блок 7, если связка ломается под нагрузкой.</t>
        </is>
      </c>
      <c r="B22" s="20" t="str"/>
      <c r="C22" s="20" t="str"/>
      <c r="D22" s="20" t="str"/>
      <c r="E22" s="20" t="str"/>
      <c r="F22" s="20" t="str"/>
      <c r="G22" s="20" t="str"/>
      <c r="H22" s="20" t="str"/>
    </row>
  </sheetData>
  <mergeCells count="6">
    <mergeCell ref="F13:H13"/>
    <mergeCell ref="A11:D11"/>
    <mergeCell ref="F12:H12"/>
    <mergeCell ref="A1:H1"/>
    <mergeCell ref="F11:H11"/>
    <mergeCell ref="A17:H17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88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7" t="inlineStr">
        <is>
          <t>CLM Блок 6. Ввод синхронизации C-level-ядра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Поле</t>
        </is>
      </c>
      <c r="B3" s="19" t="inlineStr">
        <is>
          <t>Значение</t>
        </is>
      </c>
      <c r="C3" s="18" t="n"/>
      <c r="D3" s="18" t="n"/>
      <c r="E3" s="18" t="n"/>
      <c r="F3" s="18" t="n"/>
      <c r="G3" s="18" t="n"/>
      <c r="H3" s="18" t="n"/>
    </row>
    <row r="4">
      <c r="A4" s="20" t="inlineStr">
        <is>
          <t>Клиент</t>
        </is>
      </c>
      <c r="B4" s="31" t="str"/>
      <c r="C4" s="18" t="n"/>
      <c r="D4" s="18" t="n"/>
      <c r="E4" s="18" t="n"/>
      <c r="F4" s="18" t="n"/>
      <c r="G4" s="18" t="n"/>
      <c r="H4" s="18" t="n"/>
    </row>
    <row r="5">
      <c r="A5" s="20" t="inlineStr">
        <is>
          <t>Дата запуска</t>
        </is>
      </c>
      <c r="B5" s="32" t="str"/>
      <c r="C5" s="18" t="n"/>
      <c r="D5" s="18" t="n"/>
      <c r="E5" s="18" t="n"/>
      <c r="F5" s="18" t="n"/>
      <c r="G5" s="18" t="n"/>
      <c r="H5" s="18" t="n"/>
    </row>
    <row r="6">
      <c r="A6" s="20" t="inlineStr">
        <is>
          <t>Разрыв из Блока 3</t>
        </is>
      </c>
      <c r="B6" s="31" t="str"/>
      <c r="C6" s="18" t="n"/>
      <c r="D6" s="18" t="n"/>
      <c r="E6" s="18" t="n"/>
      <c r="F6" s="18" t="n"/>
      <c r="G6" s="18" t="n"/>
      <c r="H6" s="18" t="n"/>
    </row>
    <row r="7">
      <c r="A7" s="20" t="inlineStr">
        <is>
          <t>Риск роли из Блока 4</t>
        </is>
      </c>
      <c r="B7" s="31" t="str"/>
      <c r="C7" s="18" t="n"/>
      <c r="D7" s="18" t="n"/>
      <c r="E7" s="18" t="n"/>
      <c r="F7" s="18" t="n"/>
      <c r="G7" s="18" t="n"/>
      <c r="H7" s="18" t="n"/>
    </row>
    <row r="8">
      <c r="A8" s="20" t="inlineStr">
        <is>
          <t>Сбой Decision OS из Блока 5</t>
        </is>
      </c>
      <c r="B8" s="31" t="str"/>
      <c r="C8" s="18" t="n"/>
      <c r="D8" s="18" t="n"/>
      <c r="E8" s="18" t="n"/>
      <c r="F8" s="18" t="n"/>
      <c r="G8" s="18" t="n"/>
      <c r="H8" s="18" t="n"/>
    </row>
    <row r="9">
      <c r="A9" s="20" t="inlineStr">
        <is>
          <t>Главная конфликтующая связка</t>
        </is>
      </c>
      <c r="B9" s="31" t="str"/>
      <c r="C9" s="18" t="n"/>
      <c r="D9" s="18" t="n"/>
      <c r="E9" s="18" t="n"/>
      <c r="F9" s="18" t="n"/>
      <c r="G9" s="18" t="n"/>
      <c r="H9" s="18" t="n"/>
    </row>
    <row r="10">
      <c r="A10" s="20" t="inlineStr">
        <is>
          <t>Владелец синхронизации</t>
        </is>
      </c>
      <c r="B10" s="31" t="str"/>
      <c r="C10" s="18" t="n"/>
      <c r="D10" s="18" t="n"/>
      <c r="E10" s="18" t="n"/>
      <c r="F10" s="18" t="n"/>
      <c r="G10" s="18" t="n"/>
      <c r="H10" s="18" t="n"/>
    </row>
    <row r="11">
      <c r="A11" s="20" t="inlineStr">
        <is>
          <t>Ритм синхронизации</t>
        </is>
      </c>
      <c r="B11" s="31" t="str"/>
      <c r="C11" s="18" t="n"/>
      <c r="D11" s="18" t="n"/>
      <c r="E11" s="18" t="n"/>
      <c r="F11" s="18" t="n"/>
      <c r="G11" s="18" t="n"/>
      <c r="H11" s="18" t="n"/>
    </row>
    <row r="12">
      <c r="A12" s="20" t="inlineStr">
        <is>
          <t>Комментарий</t>
        </is>
      </c>
      <c r="B12" s="31" t="str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24" t="inlineStr">
        <is>
          <t>Правило заполнения</t>
        </is>
      </c>
      <c r="C14" s="18" t="n"/>
      <c r="D14" s="18" t="n"/>
      <c r="E14" s="18" t="n"/>
      <c r="F14" s="18" t="n"/>
      <c r="G14" s="18" t="n"/>
      <c r="H14" s="18" t="n"/>
    </row>
    <row r="15">
      <c r="A15" s="20" t="inlineStr">
        <is>
          <t>1</t>
        </is>
      </c>
      <c r="B15" s="20" t="inlineStr">
        <is>
          <t>Фиксируйте не личный конфликт, а управленческий разрыв между ролями.</t>
        </is>
      </c>
      <c r="C15" s="18" t="n"/>
      <c r="D15" s="18" t="n"/>
      <c r="E15" s="18" t="n"/>
      <c r="F15" s="18" t="n"/>
      <c r="G15" s="18" t="n"/>
      <c r="H15" s="18" t="n"/>
    </row>
    <row r="16">
      <c r="A16" s="20" t="inlineStr">
        <is>
          <t>2</t>
        </is>
      </c>
      <c r="B16" s="20" t="inlineStr">
        <is>
          <t>Главный объект Блока 6 — интерфейс ролей, KPI / показатели, данные, обязательства и доверие.</t>
        </is>
      </c>
      <c r="C16" s="18" t="n"/>
      <c r="D16" s="18" t="n"/>
      <c r="E16" s="18" t="n"/>
      <c r="F16" s="18" t="n"/>
      <c r="G16" s="18" t="n"/>
      <c r="H16" s="18" t="n"/>
    </row>
    <row r="17">
      <c r="A17" s="20" t="inlineStr">
        <is>
          <t>3</t>
        </is>
      </c>
      <c r="B17" s="20" t="inlineStr">
        <is>
          <t>Если конфликт закрывается только CEO, это риск для Блока 8.</t>
        </is>
      </c>
      <c r="C17" s="18" t="n"/>
      <c r="D17" s="18" t="n"/>
      <c r="E17" s="18" t="n"/>
      <c r="F17" s="18" t="n"/>
      <c r="G17" s="18" t="n"/>
      <c r="H17" s="18" t="n"/>
    </row>
    <row r="18">
      <c r="A18" s="20" t="inlineStr">
        <is>
          <t>4</t>
        </is>
      </c>
      <c r="B18" s="20" t="inlineStr">
        <is>
          <t>Если связка ломается под нагрузкой, это вход в Блок 7.</t>
        </is>
      </c>
      <c r="C18" s="18" t="n"/>
      <c r="D18" s="18" t="n"/>
      <c r="E18" s="18" t="n"/>
      <c r="F18" s="18" t="n"/>
      <c r="G18" s="18" t="n"/>
      <c r="H18" s="18" t="n"/>
    </row>
  </sheetData>
  <mergeCells count="2">
    <mergeCell ref="A14:B14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42" customWidth="1" style="1" min="2" max="2"/>
    <col width="34" customWidth="1" style="1" min="3" max="3"/>
    <col width="26" customWidth="1" style="1" min="4" max="4"/>
    <col width="30" customWidth="1" style="1" min="5" max="5"/>
    <col width="22" customWidth="1" style="1" min="6" max="6"/>
    <col width="13" customWidth="1" style="1" min="7" max="7"/>
    <col width="12" customWidth="1" style="1" min="8" max="8"/>
    <col width="38" customWidth="1" style="1" min="9" max="9"/>
    <col width="9" customWidth="1" style="1" min="10" max="10"/>
    <col width="14" customWidth="1" style="1" min="11" max="11"/>
  </cols>
  <sheetData>
    <row r="1">
      <c r="A1" s="17" t="inlineStr">
        <is>
          <t>Карта интерфейсов ролей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</row>
    <row r="3">
      <c r="A3" s="19" t="inlineStr">
        <is>
          <t>Связка ролей</t>
        </is>
      </c>
      <c r="B3" s="19" t="inlineStr">
        <is>
          <t>Зона синхронизации</t>
        </is>
      </c>
      <c r="C3" s="19" t="inlineStr">
        <is>
          <t>Главный конфликт KPI</t>
        </is>
      </c>
      <c r="D3" s="19" t="inlineStr">
        <is>
          <t>Общие данные</t>
        </is>
      </c>
      <c r="E3" s="19" t="inlineStr">
        <is>
          <t>Общее решение</t>
        </is>
      </c>
      <c r="F3" s="19" t="inlineStr">
        <is>
          <t>Владелец стыка</t>
        </is>
      </c>
      <c r="G3" s="19" t="inlineStr">
        <is>
          <t>Оценка, 0-3</t>
        </is>
      </c>
      <c r="H3" s="19" t="inlineStr">
        <is>
          <t>Риск, 0-3</t>
        </is>
      </c>
      <c r="I3" s="19" t="inlineStr">
        <is>
          <t>Комментарий / источник</t>
        </is>
      </c>
      <c r="J3" s="19" t="inlineStr">
        <is>
          <t>Балл</t>
        </is>
      </c>
      <c r="K3" s="19" t="inlineStr">
        <is>
          <t>Статус</t>
        </is>
      </c>
    </row>
    <row r="4">
      <c r="A4" s="20" t="inlineStr">
        <is>
          <t>CEO / CFO</t>
        </is>
      </c>
      <c r="B4" s="20" t="inlineStr">
        <is>
          <t>Стратегия, деньги, инвестиции, ограничения</t>
        </is>
      </c>
      <c r="C4" s="31" t="str"/>
      <c r="D4" s="31" t="str"/>
      <c r="E4" s="31" t="str"/>
      <c r="F4" s="31" t="str"/>
      <c r="G4" s="31" t="str"/>
      <c r="H4" s="31" t="str"/>
      <c r="I4" s="31" t="str"/>
      <c r="J4" s="20">
        <f>IF(COUNTA(G4:H4)&lt;2,"",ROUND((G4+(3-H4))/2,1))</f>
        <v/>
      </c>
      <c r="K4" s="20">
        <f>IF(J4="","Не заполнено",IF(J4&lt;1.5,"Критично",IF(J4&lt;2.3,"Разрыв","ОК")))</f>
        <v/>
      </c>
    </row>
    <row r="5">
      <c r="A5" s="20" t="inlineStr">
        <is>
          <t>CEO / COO</t>
        </is>
      </c>
      <c r="B5" s="20" t="inlineStr">
        <is>
          <t>Приоритеты, исполнение, скорость изменений</t>
        </is>
      </c>
      <c r="C5" s="31" t="str"/>
      <c r="D5" s="31" t="str"/>
      <c r="E5" s="31" t="str"/>
      <c r="F5" s="31" t="str"/>
      <c r="G5" s="31" t="str"/>
      <c r="H5" s="31" t="str"/>
      <c r="I5" s="31" t="str"/>
      <c r="J5" s="20">
        <f>IF(COUNTA(G5:H5)&lt;2,"",ROUND((G5+(3-H5))/2,1))</f>
        <v/>
      </c>
      <c r="K5" s="20">
        <f>IF(J5="","Не заполнено",IF(J5&lt;1.5,"Критично",IF(J5&lt;2.3,"Разрыв","ОК")))</f>
        <v/>
      </c>
    </row>
    <row r="6">
      <c r="A6" s="20" t="inlineStr">
        <is>
          <t>CFO / COO</t>
        </is>
      </c>
      <c r="B6" s="20" t="inlineStr">
        <is>
          <t>Бюджет, ресурсы, производительность, экономия</t>
        </is>
      </c>
      <c r="C6" s="31" t="str"/>
      <c r="D6" s="31" t="str"/>
      <c r="E6" s="31" t="str"/>
      <c r="F6" s="31" t="str"/>
      <c r="G6" s="31" t="str"/>
      <c r="H6" s="31" t="str"/>
      <c r="I6" s="31" t="str"/>
      <c r="J6" s="20">
        <f>IF(COUNTA(G6:H6)&lt;2,"",ROUND((G6+(3-H6))/2,1))</f>
        <v/>
      </c>
      <c r="K6" s="20">
        <f>IF(J6="","Не заполнено",IF(J6&lt;1.5,"Критично",IF(J6&lt;2.3,"Разрыв","ОК")))</f>
        <v/>
      </c>
    </row>
    <row r="7">
      <c r="A7" s="20" t="inlineStr">
        <is>
          <t>CSO Sales / CMO</t>
        </is>
      </c>
      <c r="B7" s="20" t="inlineStr">
        <is>
          <t>Спрос, лиды, воронка продаж, качество клиентов</t>
        </is>
      </c>
      <c r="C7" s="31" t="str"/>
      <c r="D7" s="31" t="str"/>
      <c r="E7" s="31" t="str"/>
      <c r="F7" s="31" t="str"/>
      <c r="G7" s="31" t="str"/>
      <c r="H7" s="31" t="str"/>
      <c r="I7" s="31" t="str"/>
      <c r="J7" s="20">
        <f>IF(COUNTA(G7:H7)&lt;2,"",ROUND((G7+(3-H7))/2,1))</f>
        <v/>
      </c>
      <c r="K7" s="20">
        <f>IF(J7="","Не заполнено",IF(J7&lt;1.5,"Критично",IF(J7&lt;2.3,"Разрыв","ОК")))</f>
        <v/>
      </c>
    </row>
    <row r="8">
      <c r="A8" s="20" t="inlineStr">
        <is>
          <t>CSO Sales / CPO Product</t>
        </is>
      </c>
      <c r="B8" s="20" t="inlineStr">
        <is>
          <t>Обещания рынку, продуктовая ценность, roadmap / дорожная карта</t>
        </is>
      </c>
      <c r="C8" s="31" t="str"/>
      <c r="D8" s="31" t="str"/>
      <c r="E8" s="31" t="str"/>
      <c r="F8" s="31" t="str"/>
      <c r="G8" s="31" t="str"/>
      <c r="H8" s="31" t="str"/>
      <c r="I8" s="31" t="str"/>
      <c r="J8" s="20">
        <f>IF(COUNTA(G8:H8)&lt;2,"",ROUND((G8+(3-H8))/2,1))</f>
        <v/>
      </c>
      <c r="K8" s="20">
        <f>IF(J8="","Не заполнено",IF(J8&lt;1.5,"Критично",IF(J8&lt;2.3,"Разрыв","ОК")))</f>
        <v/>
      </c>
    </row>
    <row r="9">
      <c r="A9" s="20" t="inlineStr">
        <is>
          <t>CPO Product / CTO</t>
        </is>
      </c>
      <c r="B9" s="20" t="inlineStr">
        <is>
          <t>Продуктовые решения, сроки разработки, технический долг</t>
        </is>
      </c>
      <c r="C9" s="31" t="str"/>
      <c r="D9" s="31" t="str"/>
      <c r="E9" s="31" t="str"/>
      <c r="F9" s="31" t="str"/>
      <c r="G9" s="31" t="str"/>
      <c r="H9" s="31" t="str"/>
      <c r="I9" s="31" t="str"/>
      <c r="J9" s="20">
        <f>IF(COUNTA(G9:H9)&lt;2,"",ROUND((G9+(3-H9))/2,1))</f>
        <v/>
      </c>
      <c r="K9" s="20">
        <f>IF(J9="","Не заполнено",IF(J9&lt;1.5,"Критично",IF(J9&lt;2.3,"Разрыв","ОК")))</f>
        <v/>
      </c>
    </row>
    <row r="10">
      <c r="A10" s="20" t="inlineStr">
        <is>
          <t>COO / CHRO</t>
        </is>
      </c>
      <c r="B10" s="20" t="inlineStr">
        <is>
          <t>Производительность, оргизменения, люди, нагрузка</t>
        </is>
      </c>
      <c r="C10" s="31" t="str"/>
      <c r="D10" s="31" t="str"/>
      <c r="E10" s="31" t="str"/>
      <c r="F10" s="31" t="str"/>
      <c r="G10" s="31" t="str"/>
      <c r="H10" s="31" t="str"/>
      <c r="I10" s="31" t="str"/>
      <c r="J10" s="20">
        <f>IF(COUNTA(G10:H10)&lt;2,"",ROUND((G10+(3-H10))/2,1))</f>
        <v/>
      </c>
      <c r="K10" s="20">
        <f>IF(J10="","Не заполнено",IF(J10&lt;1.5,"Критично",IF(J10&lt;2.3,"Разрыв","ОК")))</f>
        <v/>
      </c>
    </row>
    <row r="11">
      <c r="A11" s="20" t="inlineStr">
        <is>
          <t>CIO / CAO Analytics</t>
        </is>
      </c>
      <c r="B11" s="20" t="inlineStr">
        <is>
          <t>Системы, данные, единая версия фактов</t>
        </is>
      </c>
      <c r="C11" s="31" t="str"/>
      <c r="D11" s="31" t="str"/>
      <c r="E11" s="31" t="str"/>
      <c r="F11" s="31" t="str"/>
      <c r="G11" s="31" t="str"/>
      <c r="H11" s="31" t="str"/>
      <c r="I11" s="31" t="str"/>
      <c r="J11" s="20">
        <f>IF(COUNTA(G11:H11)&lt;2,"",ROUND((G11+(3-H11))/2,1))</f>
        <v/>
      </c>
      <c r="K11" s="20">
        <f>IF(J11="","Не заполнено",IF(J11&lt;1.5,"Критично",IF(J11&lt;2.3,"Разрыв","ОК")))</f>
        <v/>
      </c>
    </row>
    <row r="12">
      <c r="A12" s="20" t="inlineStr">
        <is>
          <t>CRO Risk / CCO</t>
        </is>
      </c>
      <c r="B12" s="20" t="inlineStr">
        <is>
          <t>Риск, допустимость, комплаенс, контроль</t>
        </is>
      </c>
      <c r="C12" s="31" t="str"/>
      <c r="D12" s="31" t="str"/>
      <c r="E12" s="31" t="str"/>
      <c r="F12" s="31" t="str"/>
      <c r="G12" s="31" t="str"/>
      <c r="H12" s="31" t="str"/>
      <c r="I12" s="31" t="str"/>
      <c r="J12" s="20">
        <f>IF(COUNTA(G12:H12)&lt;2,"",ROUND((G12+(3-H12))/2,1))</f>
        <v/>
      </c>
      <c r="K12" s="20">
        <f>IF(J12="","Не заполнено",IF(J12&lt;1.5,"Критично",IF(J12&lt;2.3,"Разрыв","ОК")))</f>
        <v/>
      </c>
    </row>
    <row r="13">
      <c r="A13" s="20" t="inlineStr">
        <is>
          <t>CAIO / CIO</t>
        </is>
      </c>
      <c r="B13" s="20" t="inlineStr">
        <is>
          <t>AI / ИИ-сценарии, данные, безопасность, интеграция</t>
        </is>
      </c>
      <c r="C13" s="31" t="str"/>
      <c r="D13" s="31" t="str"/>
      <c r="E13" s="31" t="str"/>
      <c r="F13" s="31" t="str"/>
      <c r="G13" s="31" t="str"/>
      <c r="H13" s="31" t="str"/>
      <c r="I13" s="31" t="str"/>
      <c r="J13" s="20">
        <f>IF(COUNTA(G13:H13)&lt;2,"",ROUND((G13+(3-H13))/2,1))</f>
        <v/>
      </c>
      <c r="K13" s="20">
        <f>IF(J13="","Не заполнено",IF(J13&lt;1.5,"Критично",IF(J13&lt;2.3,"Разрыв","ОК")))</f>
        <v/>
      </c>
    </row>
  </sheetData>
  <mergeCells count="1">
    <mergeCell ref="A1:K1"/>
  </mergeCells>
  <dataValidations count="1">
    <dataValidation sqref="G4:H13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58" customWidth="1" style="1" min="2" max="2"/>
    <col width="13" customWidth="1" style="1" min="3" max="3"/>
    <col width="22" customWidth="1" style="1" min="4" max="4"/>
    <col width="28" customWidth="1" style="1" min="5" max="5"/>
    <col width="12" customWidth="1" style="1" min="6" max="6"/>
    <col width="40" customWidth="1" style="1" min="7" max="7"/>
    <col width="16" customWidth="1" style="1" min="8" max="8"/>
  </cols>
  <sheetData>
    <row r="1">
      <c r="A1" s="17" t="inlineStr">
        <is>
          <t>Ритм синхронизации и доверие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Слой</t>
        </is>
      </c>
      <c r="B3" s="19" t="inlineStr">
        <is>
          <t>Проверочный вопрос</t>
        </is>
      </c>
      <c r="C3" s="19" t="inlineStr">
        <is>
          <t>Оценка, 0-3</t>
        </is>
      </c>
      <c r="D3" s="19" t="inlineStr">
        <is>
          <t>Владелец</t>
        </is>
      </c>
      <c r="E3" s="19" t="inlineStr">
        <is>
          <t>Источник</t>
        </is>
      </c>
      <c r="F3" s="19" t="inlineStr">
        <is>
          <t>Риск, 0-3</t>
        </is>
      </c>
      <c r="G3" s="19" t="inlineStr">
        <is>
          <t>Комментарий</t>
        </is>
      </c>
      <c r="H3" s="19" t="inlineStr">
        <is>
          <t>Статус</t>
        </is>
      </c>
    </row>
    <row r="4">
      <c r="A4" s="20" t="inlineStr">
        <is>
          <t>Интерфейс</t>
        </is>
      </c>
      <c r="B4" s="20" t="inlineStr">
        <is>
          <t>Роли понимают, что должны передавать друг другу.</t>
        </is>
      </c>
      <c r="C4" s="31" t="str"/>
      <c r="D4" s="31" t="str"/>
      <c r="E4" s="31" t="str"/>
      <c r="F4" s="31" t="str"/>
      <c r="G4" s="31" t="str"/>
      <c r="H4" s="20">
        <f>IF(C4="","Не заполнено",IF(C4&lt;1.5,"Критично",IF(C4&lt;2.3,"Разрыв","ОК")))</f>
        <v/>
      </c>
    </row>
    <row r="5">
      <c r="A5" s="20" t="inlineStr">
        <is>
          <t>KPI / показатели</t>
        </is>
      </c>
      <c r="B5" s="20" t="inlineStr">
        <is>
          <t>Локальные KPI не ломают общий результат.</t>
        </is>
      </c>
      <c r="C5" s="31" t="str"/>
      <c r="D5" s="31" t="str"/>
      <c r="E5" s="31" t="str"/>
      <c r="F5" s="31" t="str"/>
      <c r="G5" s="31" t="str"/>
      <c r="H5" s="20">
        <f>IF(C5="","Не заполнено",IF(C5&lt;1.5,"Критично",IF(C5&lt;2.3,"Разрыв","ОК")))</f>
        <v/>
      </c>
    </row>
    <row r="6">
      <c r="A6" s="20" t="inlineStr">
        <is>
          <t>Данные</t>
        </is>
      </c>
      <c r="B6" s="20" t="inlineStr">
        <is>
          <t>У ролей есть общая версия фактов.</t>
        </is>
      </c>
      <c r="C6" s="31" t="str"/>
      <c r="D6" s="31" t="str"/>
      <c r="E6" s="31" t="str"/>
      <c r="F6" s="31" t="str"/>
      <c r="G6" s="31" t="str"/>
      <c r="H6" s="20">
        <f>IF(C6="","Не заполнено",IF(C6&lt;1.5,"Критично",IF(C6&lt;2.3,"Разрыв","ОК")))</f>
        <v/>
      </c>
    </row>
    <row r="7">
      <c r="A7" s="20" t="inlineStr">
        <is>
          <t>Решения</t>
        </is>
      </c>
      <c r="B7" s="20" t="inlineStr">
        <is>
          <t>Конфликт закрывается решением, а не зависает.</t>
        </is>
      </c>
      <c r="C7" s="31" t="str"/>
      <c r="D7" s="31" t="str"/>
      <c r="E7" s="31" t="str"/>
      <c r="F7" s="31" t="str"/>
      <c r="G7" s="31" t="str"/>
      <c r="H7" s="20">
        <f>IF(C7="","Не заполнено",IF(C7&lt;1.5,"Критично",IF(C7&lt;2.3,"Разрыв","ОК")))</f>
        <v/>
      </c>
    </row>
    <row r="8">
      <c r="A8" s="20" t="inlineStr">
        <is>
          <t>Обязательства</t>
        </is>
      </c>
      <c r="B8" s="20" t="inlineStr">
        <is>
          <t>Стороны фиксируют срок, владельца и следующий шаг.</t>
        </is>
      </c>
      <c r="C8" s="31" t="str"/>
      <c r="D8" s="31" t="str"/>
      <c r="E8" s="31" t="str"/>
      <c r="F8" s="31" t="str"/>
      <c r="G8" s="31" t="str"/>
      <c r="H8" s="20">
        <f>IF(C8="","Не заполнено",IF(C8&lt;1.5,"Критично",IF(C8&lt;2.3,"Разрыв","ОК")))</f>
        <v/>
      </c>
    </row>
    <row r="9">
      <c r="A9" s="20" t="inlineStr">
        <is>
          <t>Доверие</t>
        </is>
      </c>
      <c r="B9" s="20" t="inlineStr">
        <is>
          <t>Роли выполняют договоренности и не возвращают спор заново.</t>
        </is>
      </c>
      <c r="C9" s="31" t="str"/>
      <c r="D9" s="31" t="str"/>
      <c r="E9" s="31" t="str"/>
      <c r="F9" s="31" t="str"/>
      <c r="G9" s="31" t="str"/>
      <c r="H9" s="20">
        <f>IF(C9="","Не заполнено",IF(C9&lt;1.5,"Критично",IF(C9&lt;2.3,"Разрыв","ОК")))</f>
        <v/>
      </c>
    </row>
    <row r="10">
      <c r="A10" s="20" t="inlineStr">
        <is>
          <t>Ритм</t>
        </is>
      </c>
      <c r="B10" s="20" t="inlineStr">
        <is>
          <t>Есть регулярная точка синхронизации и review / разбор.</t>
        </is>
      </c>
      <c r="C10" s="31" t="str"/>
      <c r="D10" s="31" t="str"/>
      <c r="E10" s="31" t="str"/>
      <c r="F10" s="31" t="str"/>
      <c r="G10" s="31" t="str"/>
      <c r="H10" s="20">
        <f>IF(C10="","Не заполнено",IF(C10&lt;1.5,"Критично",IF(C10&lt;2.3,"Разрыв","ОК")))</f>
        <v/>
      </c>
    </row>
  </sheetData>
  <mergeCells count="1">
    <mergeCell ref="A1:H1"/>
  </mergeCells>
  <dataValidations count="2">
    <dataValidation sqref="C4:C10" showDropDown="0" showInputMessage="0" showErrorMessage="0" allowBlank="0" type="whole" operator="between">
      <formula1>0</formula1>
      <formula2>3</formula2>
    </dataValidation>
    <dataValidation sqref="F4:F10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7" t="inlineStr">
        <is>
          <t>Расчёт синхронизации</t>
        </is>
      </c>
      <c r="F1" s="17" t="n"/>
      <c r="G1" s="17" t="n"/>
      <c r="H1" s="17" t="n"/>
      <c r="I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19" t="inlineStr">
        <is>
          <t>Показатель</t>
        </is>
      </c>
      <c r="B3" s="19" t="inlineStr">
        <is>
          <t>Значение</t>
        </is>
      </c>
      <c r="C3" s="19" t="inlineStr">
        <is>
          <t>Норма</t>
        </is>
      </c>
      <c r="D3" s="19" t="inlineStr">
        <is>
          <t>Источник</t>
        </is>
      </c>
      <c r="E3" s="19" t="inlineStr">
        <is>
          <t>Комментарий</t>
        </is>
      </c>
      <c r="F3" s="18" t="n"/>
      <c r="G3" s="25" t="inlineStr">
        <is>
          <t>Как читать расчет</t>
        </is>
      </c>
    </row>
    <row r="4">
      <c r="A4" s="20" t="inlineStr">
        <is>
          <t>Заполненность интерфейсов</t>
        </is>
      </c>
      <c r="B4" s="21">
        <f>IFERROR(COUNT('02_Интерфейсы'!J4:J13)/10,0)</f>
        <v/>
      </c>
      <c r="C4" s="20" t="inlineStr">
        <is>
          <t>80%+</t>
        </is>
      </c>
      <c r="D4" s="20" t="inlineStr">
        <is>
          <t>02_Интерфейсы</t>
        </is>
      </c>
      <c r="E4" s="20" t="str"/>
      <c r="F4" s="18" t="n"/>
      <c r="G4" s="27" t="inlineStr">
        <is>
          <t>Synchronization Score показывает, насколько C-level-связки способны удерживать общий результат без ручного сглаживания конфликтов.</t>
        </is>
      </c>
      <c r="H4" s="33" t="n"/>
      <c r="I4" s="34" t="n"/>
    </row>
    <row r="5">
      <c r="A5" s="20" t="inlineStr">
        <is>
          <t>Средний балл интерфейсов</t>
        </is>
      </c>
      <c r="B5" s="20">
        <f>IFERROR(AVERAGE('02_Интерфейсы'!J4:J13),"")</f>
        <v/>
      </c>
      <c r="C5" s="20" t="inlineStr">
        <is>
          <t>0-3</t>
        </is>
      </c>
      <c r="D5" s="20" t="inlineStr">
        <is>
          <t>02_Интерфейсы</t>
        </is>
      </c>
      <c r="E5" s="20" t="str"/>
      <c r="F5" s="18" t="n"/>
      <c r="G5" s="27" t="inlineStr">
        <is>
          <t>Критичные зоны передаются в Блок 7, если связка ломается под нагрузкой.</t>
        </is>
      </c>
      <c r="H5" s="33" t="n"/>
      <c r="I5" s="34" t="n"/>
    </row>
    <row r="6">
      <c r="A6" s="20" t="inlineStr">
        <is>
          <t>Средний балл ритма и доверия</t>
        </is>
      </c>
      <c r="B6" s="20">
        <f>IFERROR(AVERAGE('03_Ритм_доверие'!C4:C10),"")</f>
        <v/>
      </c>
      <c r="C6" s="20" t="inlineStr">
        <is>
          <t>0-3</t>
        </is>
      </c>
      <c r="D6" s="20" t="inlineStr">
        <is>
          <t>03_Ритм_доверие</t>
        </is>
      </c>
      <c r="E6" s="20" t="str"/>
      <c r="F6" s="18" t="n"/>
      <c r="G6" s="18" t="n"/>
      <c r="H6" s="18" t="n"/>
      <c r="I6" s="18" t="n"/>
    </row>
    <row r="7">
      <c r="A7" s="20" t="inlineStr">
        <is>
          <t>Критичных интерфейсов</t>
        </is>
      </c>
      <c r="B7" s="20">
        <f>COUNTIF('02_Интерфейсы'!K4:K13,"Критично")</f>
        <v/>
      </c>
      <c r="C7" s="20" t="inlineStr">
        <is>
          <t>0</t>
        </is>
      </c>
      <c r="D7" s="20" t="inlineStr">
        <is>
          <t>02_Интерфейсы</t>
        </is>
      </c>
      <c r="E7" s="20" t="str"/>
      <c r="F7" s="18" t="n"/>
      <c r="G7" s="18" t="n"/>
      <c r="H7" s="18" t="n"/>
      <c r="I7" s="18" t="n"/>
    </row>
    <row r="8">
      <c r="A8" s="20" t="inlineStr">
        <is>
          <t>Критичных слоёв ритма/доверия</t>
        </is>
      </c>
      <c r="B8" s="20">
        <f>COUNTIF('03_Ритм_доверие'!H4:H10,"Критично")</f>
        <v/>
      </c>
      <c r="C8" s="20" t="inlineStr">
        <is>
          <t>0</t>
        </is>
      </c>
      <c r="D8" s="20" t="inlineStr">
        <is>
          <t>03_Ритм_доверие</t>
        </is>
      </c>
      <c r="E8" s="20" t="str"/>
      <c r="F8" s="18" t="n"/>
      <c r="G8" s="18" t="n"/>
      <c r="H8" s="18" t="n"/>
      <c r="I8" s="18" t="n"/>
    </row>
    <row r="9">
      <c r="A9" s="20" t="inlineStr">
        <is>
          <t>Synchronization Score</t>
        </is>
      </c>
      <c r="B9" s="23">
        <f>IF(COUNTA(B5:B6)&lt;2,"",ROUND(AVERAGE(B5:B6)/3*100-IF(B7+B8&gt;0,10,0),0))</f>
        <v/>
      </c>
      <c r="C9" s="20" t="inlineStr">
        <is>
          <t>75+</t>
        </is>
      </c>
      <c r="D9" s="20" t="inlineStr">
        <is>
          <t>Сводный показатель</t>
        </is>
      </c>
      <c r="E9" s="20" t="str"/>
      <c r="F9" s="18" t="n"/>
      <c r="G9" s="18" t="n"/>
      <c r="H9" s="18" t="n"/>
      <c r="I9" s="18" t="n"/>
    </row>
    <row r="10">
      <c r="A10" s="20" t="inlineStr">
        <is>
          <t>Статус</t>
        </is>
      </c>
      <c r="B10" s="20">
        <f>IF(B9="","",IF(B9&gt;=75,"GO / запускать",IF(B9&gt;=50,"HOLD / пауза","NO-GO / остановить")))</f>
        <v/>
      </c>
      <c r="C10" s="20" t="inlineStr">
        <is>
          <t>GO / HOLD / NO-GO</t>
        </is>
      </c>
      <c r="D10" s="20" t="inlineStr">
        <is>
          <t>Порог Score</t>
        </is>
      </c>
      <c r="E10" s="20" t="str"/>
      <c r="F10" s="18" t="n"/>
      <c r="G10" s="18" t="n"/>
      <c r="H10" s="18" t="n"/>
      <c r="I10" s="18" t="n"/>
    </row>
    <row r="11">
      <c r="A11" s="20" t="inlineStr">
        <is>
          <t>Главный риск</t>
        </is>
      </c>
      <c r="B11" s="20">
        <f>IF(B9="","",IF(B7+B8&gt;0,"Есть критичные разрывы синхронизации",IF(B9&lt;50,"C-level-связки не удерживают общий результат",IF(B9&lt;75,"Есть значимые разрывы KPI, доверия или ритма","Разрывы локальны"))))</f>
        <v/>
      </c>
      <c r="C11" s="20" t="inlineStr">
        <is>
          <t>Автовывод</t>
        </is>
      </c>
      <c r="D11" s="20" t="inlineStr">
        <is>
          <t>Score + критичные зоны</t>
        </is>
      </c>
      <c r="E11" s="20" t="str"/>
      <c r="F11" s="18" t="n"/>
      <c r="G11" s="18" t="n"/>
      <c r="H11" s="18" t="n"/>
      <c r="I11" s="18" t="n"/>
    </row>
    <row r="12">
      <c r="A12" s="20" t="inlineStr">
        <is>
          <t>Рекомендуемый следующий блок</t>
        </is>
      </c>
      <c r="B12" s="20">
        <f>'05_Отчет'!B9</f>
        <v/>
      </c>
      <c r="C12" s="20" t="inlineStr">
        <is>
          <t>Ручной выбор</t>
        </is>
      </c>
      <c r="D12" s="20" t="inlineStr">
        <is>
          <t>05_Отчет</t>
        </is>
      </c>
      <c r="E12" s="20" t="str"/>
      <c r="F12" s="18" t="n"/>
      <c r="G12" s="18" t="n"/>
      <c r="H12" s="18" t="n"/>
      <c r="I12" s="18" t="n"/>
    </row>
    <row r="13">
      <c r="A13" s="20" t="inlineStr">
        <is>
          <t>Дата обновления</t>
        </is>
      </c>
      <c r="B13" s="20">
        <f>'01_Ввод'!B5</f>
        <v/>
      </c>
      <c r="C13" s="20" t="inlineStr">
        <is>
          <t>Дата</t>
        </is>
      </c>
      <c r="D13" s="20" t="inlineStr">
        <is>
          <t>01_Ввод</t>
        </is>
      </c>
      <c r="E13" s="20" t="str"/>
      <c r="F13" s="18" t="n"/>
      <c r="G13" s="18" t="n"/>
      <c r="H13" s="18" t="n"/>
      <c r="I13" s="18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6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7" t="inlineStr">
        <is>
          <t>Отчёт Блока 6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26" t="inlineStr">
        <is>
          <t>Поле</t>
        </is>
      </c>
      <c r="B3" s="26" t="inlineStr">
        <is>
          <t>Вывод</t>
        </is>
      </c>
      <c r="C3" s="18" t="n"/>
      <c r="D3" s="18" t="n"/>
      <c r="E3" s="18" t="n"/>
      <c r="F3" s="25" t="inlineStr">
        <is>
          <t>Формула вывода</t>
        </is>
      </c>
    </row>
    <row r="4">
      <c r="A4" s="20" t="inlineStr">
        <is>
          <t>Клиент</t>
        </is>
      </c>
      <c r="B4" s="20">
        <f>'01_Ввод'!B4</f>
        <v/>
      </c>
      <c r="C4" s="18" t="n"/>
      <c r="D4" s="18" t="n"/>
      <c r="E4" s="18" t="n"/>
      <c r="F4" s="27" t="inlineStr">
        <is>
          <t>Связка ролей → конфликт KPI / данных → владелец стыка → общий ритм → доверие → следующий блок CLM.</t>
        </is>
      </c>
      <c r="G4" s="33" t="n"/>
      <c r="H4" s="34" t="n"/>
    </row>
    <row r="5">
      <c r="A5" s="20" t="inlineStr">
        <is>
          <t>Synchronization Score</t>
        </is>
      </c>
      <c r="B5" s="23">
        <f>'04_Расчет'!B9</f>
        <v/>
      </c>
      <c r="C5" s="18" t="n"/>
      <c r="D5" s="18" t="n"/>
      <c r="E5" s="18" t="n"/>
      <c r="F5" s="18" t="n"/>
      <c r="G5" s="18" t="n"/>
      <c r="H5" s="18" t="n"/>
    </row>
    <row r="6">
      <c r="A6" s="20" t="inlineStr">
        <is>
          <t>Статус</t>
        </is>
      </c>
      <c r="B6" s="20">
        <f>'04_Расчет'!B10</f>
        <v/>
      </c>
      <c r="C6" s="18" t="n"/>
      <c r="D6" s="18" t="n"/>
      <c r="E6" s="18" t="n"/>
      <c r="F6" s="18" t="n"/>
      <c r="G6" s="18" t="n"/>
      <c r="H6" s="18" t="n"/>
    </row>
    <row r="7">
      <c r="A7" s="20" t="inlineStr">
        <is>
          <t>Главный риск</t>
        </is>
      </c>
      <c r="B7" s="20">
        <f>'04_Расчет'!B11</f>
        <v/>
      </c>
      <c r="C7" s="18" t="n"/>
      <c r="D7" s="18" t="n"/>
      <c r="E7" s="18" t="n"/>
      <c r="F7" s="18" t="n"/>
      <c r="G7" s="18" t="n"/>
      <c r="H7" s="18" t="n"/>
    </row>
    <row r="8">
      <c r="A8" s="20" t="inlineStr">
        <is>
          <t>Рекомендуемый следующий блок</t>
        </is>
      </c>
      <c r="B8" s="31" t="str"/>
      <c r="C8" s="18" t="n"/>
      <c r="D8" s="18" t="n"/>
      <c r="E8" s="18" t="n"/>
      <c r="F8" s="18" t="n"/>
      <c r="G8" s="18" t="n"/>
      <c r="H8" s="18" t="n"/>
    </row>
    <row r="9">
      <c r="A9" s="20" t="inlineStr">
        <is>
          <t>Комментарий консультанта</t>
        </is>
      </c>
      <c r="B9" s="31" t="str"/>
      <c r="C9" s="18" t="n"/>
      <c r="D9" s="18" t="n"/>
      <c r="E9" s="18" t="n"/>
      <c r="F9" s="18" t="n"/>
      <c r="G9" s="18" t="n"/>
      <c r="H9" s="18" t="n"/>
    </row>
    <row r="10">
      <c r="A10" s="20" t="inlineStr">
        <is>
          <t>Первое действие 30 дней</t>
        </is>
      </c>
      <c r="B10" s="31" t="str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24" t="inlineStr">
        <is>
          <t>Решение для 4 сторон</t>
        </is>
      </c>
      <c r="E12" s="18" t="n"/>
      <c r="F12" s="18" t="n"/>
      <c r="G12" s="18" t="n"/>
      <c r="H12" s="18" t="n"/>
    </row>
    <row r="13">
      <c r="A13" s="19" t="inlineStr">
        <is>
          <t>Сторона</t>
        </is>
      </c>
      <c r="B13" s="19" t="inlineStr">
        <is>
          <t>Что показать</t>
        </is>
      </c>
      <c r="C13" s="19" t="inlineStr">
        <is>
          <t>Что не включать</t>
        </is>
      </c>
      <c r="D13" s="19" t="inlineStr">
        <is>
          <t>Решение</t>
        </is>
      </c>
      <c r="E13" s="18" t="n"/>
      <c r="F13" s="18" t="n"/>
      <c r="G13" s="18" t="n"/>
      <c r="H13" s="18" t="n"/>
    </row>
    <row r="14">
      <c r="A14" s="20" t="inlineStr">
        <is>
          <t>CEO / генеральный директор</t>
        </is>
      </c>
      <c r="B14" s="20" t="inlineStr">
        <is>
          <t>Какие связки ролей, KPI и доверия требуют вмешательства</t>
        </is>
      </c>
      <c r="C14" s="20" t="inlineStr">
        <is>
          <t>Личные претензии между руководителями</t>
        </is>
      </c>
      <c r="D14" s="31" t="str"/>
      <c r="E14" s="18" t="n"/>
      <c r="F14" s="18" t="n"/>
      <c r="G14" s="18" t="n"/>
      <c r="H14" s="18" t="n"/>
    </row>
    <row r="15">
      <c r="A15" s="20" t="inlineStr">
        <is>
          <t>C-level-команда / первый управленческий круг</t>
        </is>
      </c>
      <c r="B15" s="20" t="inlineStr">
        <is>
          <t>Правила интерфейса, общий KPI, ритм и обязательства</t>
        </is>
      </c>
      <c r="C15" s="20" t="inlineStr">
        <is>
          <t>Обвинительный список конфликтов</t>
        </is>
      </c>
      <c r="D15" s="31" t="str"/>
      <c r="E15" s="18" t="n"/>
      <c r="F15" s="18" t="n"/>
      <c r="G15" s="18" t="n"/>
      <c r="H15" s="18" t="n"/>
    </row>
    <row r="16">
      <c r="A16" s="20" t="inlineStr">
        <is>
          <t>Владелец компании</t>
        </is>
      </c>
      <c r="B16" s="20" t="inlineStr">
        <is>
          <t>Риск потери результата из-за несшитых функций</t>
        </is>
      </c>
      <c r="C16" s="20" t="inlineStr">
        <is>
          <t>Операционные детали без решения</t>
        </is>
      </c>
      <c r="D16" s="31" t="str"/>
      <c r="E16" s="18" t="n"/>
      <c r="F16" s="18" t="n"/>
      <c r="G16" s="18" t="n"/>
      <c r="H16" s="18" t="n"/>
    </row>
    <row r="17">
      <c r="A17" s="20" t="inlineStr">
        <is>
          <t>Board / совет директоров</t>
        </is>
      </c>
      <c r="B17" s="20" t="inlineStr">
        <is>
          <t>Системные риски синхронизации и следующий блок CLM</t>
        </is>
      </c>
      <c r="C17" s="20" t="inlineStr">
        <is>
          <t>Детали внутренних споров</t>
        </is>
      </c>
      <c r="D17" s="31" t="str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24" t="inlineStr">
        <is>
          <t>План 30 / 60 / 90</t>
        </is>
      </c>
      <c r="E19" s="18" t="n"/>
      <c r="F19" s="18" t="n"/>
      <c r="G19" s="18" t="n"/>
      <c r="H19" s="18" t="n"/>
    </row>
    <row r="20">
      <c r="A20" s="19" t="inlineStr">
        <is>
          <t>Горизонт</t>
        </is>
      </c>
      <c r="B20" s="19" t="inlineStr">
        <is>
          <t>Цель</t>
        </is>
      </c>
      <c r="C20" s="19" t="inlineStr">
        <is>
          <t>Действие</t>
        </is>
      </c>
      <c r="D20" s="19" t="inlineStr">
        <is>
          <t>Метрика</t>
        </is>
      </c>
      <c r="E20" s="18" t="n"/>
      <c r="F20" s="18" t="n"/>
      <c r="G20" s="18" t="n"/>
      <c r="H20" s="18" t="n"/>
    </row>
    <row r="21">
      <c r="A21" s="20" t="inlineStr">
        <is>
          <t>30 дней</t>
        </is>
      </c>
      <c r="B21" s="20" t="inlineStr">
        <is>
          <t>Закрыть критичные интерфейсы ролей</t>
        </is>
      </c>
      <c r="C21" s="31" t="str"/>
      <c r="D21" s="31" t="str"/>
      <c r="E21" s="18" t="n"/>
      <c r="F21" s="18" t="n"/>
      <c r="G21" s="18" t="n"/>
      <c r="H21" s="18" t="n"/>
    </row>
    <row r="22">
      <c r="A22" s="20" t="inlineStr">
        <is>
          <t>60 дней</t>
        </is>
      </c>
      <c r="B22" s="20" t="inlineStr">
        <is>
          <t>Сшить KPI, данные, ритм и обязательства</t>
        </is>
      </c>
      <c r="C22" s="31" t="str"/>
      <c r="D22" s="31" t="str"/>
      <c r="E22" s="18" t="n"/>
      <c r="F22" s="18" t="n"/>
      <c r="G22" s="18" t="n"/>
      <c r="H22" s="18" t="n"/>
    </row>
    <row r="23">
      <c r="A23" s="20" t="inlineStr">
        <is>
          <t>90 дней</t>
        </is>
      </c>
      <c r="B23" s="20" t="inlineStr">
        <is>
          <t>Проверить доверие и устойчивость синхронизации</t>
        </is>
      </c>
      <c r="C23" s="31" t="str"/>
      <c r="D23" s="31" t="str"/>
      <c r="E23" s="18" t="n"/>
      <c r="F23" s="18" t="n"/>
      <c r="G23" s="18" t="n"/>
      <c r="H23" s="18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7,Блок 8,Блок 9,Блок 10,Блок 11"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30" customWidth="1" style="1" min="1" max="1"/>
    <col width="74" customWidth="1" style="1" min="2" max="2"/>
    <col width="4" customWidth="1" style="1" min="3" max="3"/>
    <col width="10" customWidth="1" style="1" min="4" max="4"/>
    <col width="10" customWidth="1" style="1" min="5" max="5"/>
    <col width="16" customWidth="1" style="1" min="6" max="6"/>
    <col width="4" customWidth="1" style="1" min="7" max="7"/>
    <col width="18" customWidth="1" style="1" min="8" max="8"/>
    <col width="74" customWidth="1" style="1" min="9" max="9"/>
  </cols>
  <sheetData>
    <row r="1">
      <c r="A1" s="19" t="inlineStr">
        <is>
          <t>Типовая связка ролей</t>
        </is>
      </c>
      <c r="B1" s="19" t="inlineStr">
        <is>
          <t>Зона синхронизации</t>
        </is>
      </c>
      <c r="C1" s="17" t="n"/>
      <c r="D1" s="26" t="inlineStr">
        <is>
          <t>Оценка</t>
        </is>
      </c>
      <c r="E1" s="26" t="inlineStr">
        <is>
          <t>Риск</t>
        </is>
      </c>
      <c r="F1" s="26" t="inlineStr">
        <is>
          <t>Статус</t>
        </is>
      </c>
      <c r="G1" s="17" t="n"/>
      <c r="H1" s="26" t="inlineStr">
        <is>
          <t>Следующий блок</t>
        </is>
      </c>
      <c r="I1" s="26" t="inlineStr">
        <is>
          <t>Когда нужен</t>
        </is>
      </c>
    </row>
    <row r="2">
      <c r="A2" s="20" t="inlineStr">
        <is>
          <t>CEO / CFO</t>
        </is>
      </c>
      <c r="B2" s="20" t="inlineStr">
        <is>
          <t>Стратегия, деньги, инвестиции, ограничения</t>
        </is>
      </c>
      <c r="C2" s="18" t="n"/>
      <c r="D2" s="20" t="n">
        <v>0</v>
      </c>
      <c r="E2" s="20" t="n">
        <v>0</v>
      </c>
      <c r="F2" s="20" t="inlineStr">
        <is>
          <t>ОК</t>
        </is>
      </c>
      <c r="G2" s="18" t="n"/>
      <c r="H2" s="20" t="inlineStr">
        <is>
          <t>Блок 7</t>
        </is>
      </c>
      <c r="I2" s="20" t="inlineStr">
        <is>
          <t>Проверить устойчивость C-level-ядра.</t>
        </is>
      </c>
    </row>
    <row r="3">
      <c r="A3" s="20" t="inlineStr">
        <is>
          <t>CEO / COO</t>
        </is>
      </c>
      <c r="B3" s="20" t="inlineStr">
        <is>
          <t>Приоритеты, исполнение, скорость изменений</t>
        </is>
      </c>
      <c r="C3" s="18" t="n"/>
      <c r="D3" s="20" t="n">
        <v>1</v>
      </c>
      <c r="E3" s="20" t="n">
        <v>1</v>
      </c>
      <c r="F3" s="20" t="inlineStr">
        <is>
          <t>Разрыв</t>
        </is>
      </c>
      <c r="G3" s="18" t="n"/>
      <c r="H3" s="20" t="inlineStr">
        <is>
          <t>Блок 8</t>
        </is>
      </c>
      <c r="I3" s="20" t="inlineStr">
        <is>
          <t>Перевести лидерство от ручного контроля к мандатам.</t>
        </is>
      </c>
    </row>
    <row r="4">
      <c r="A4" s="20" t="inlineStr">
        <is>
          <t>CFO / COO</t>
        </is>
      </c>
      <c r="B4" s="20" t="inlineStr">
        <is>
          <t>Бюджет, ресурсы, производительность, экономия</t>
        </is>
      </c>
      <c r="C4" s="18" t="n"/>
      <c r="D4" s="20" t="n">
        <v>2</v>
      </c>
      <c r="E4" s="20" t="n">
        <v>2</v>
      </c>
      <c r="F4" s="20" t="inlineStr">
        <is>
          <t>Критично</t>
        </is>
      </c>
      <c r="G4" s="18" t="n"/>
      <c r="H4" s="20" t="inlineStr">
        <is>
          <t>Блок 9</t>
        </is>
      </c>
      <c r="I4" s="20" t="inlineStr">
        <is>
          <t>Встроить AI / ИИ в мандаты, данные и ответственность.</t>
        </is>
      </c>
    </row>
    <row r="5">
      <c r="A5" s="20" t="inlineStr">
        <is>
          <t>CSO Sales / CMO</t>
        </is>
      </c>
      <c r="B5" s="20" t="inlineStr">
        <is>
          <t>Спрос, лиды, воронка продаж, качество клиентов</t>
        </is>
      </c>
      <c r="C5" s="18" t="n"/>
      <c r="D5" s="20" t="n">
        <v>3</v>
      </c>
      <c r="E5" s="20" t="n">
        <v>3</v>
      </c>
      <c r="F5" s="20" t="n"/>
      <c r="G5" s="18" t="n"/>
      <c r="H5" s="20" t="inlineStr">
        <is>
          <t>Блок 10</t>
        </is>
      </c>
      <c r="I5" s="20" t="inlineStr">
        <is>
          <t>Передать показатели в панель управляемости.</t>
        </is>
      </c>
    </row>
    <row r="6">
      <c r="A6" s="20" t="inlineStr">
        <is>
          <t>CSO Sales / CPO Product</t>
        </is>
      </c>
      <c r="B6" s="20" t="inlineStr">
        <is>
          <t>Обещания рынку, продуктовая ценность, roadmap / дорожная карта</t>
        </is>
      </c>
      <c r="C6" s="18" t="n"/>
      <c r="D6" s="18" t="n"/>
      <c r="E6" s="18" t="n"/>
      <c r="F6" s="18" t="n"/>
      <c r="G6" s="18" t="n"/>
      <c r="H6" s="20" t="inlineStr">
        <is>
          <t>Блок 11</t>
        </is>
      </c>
      <c r="I6" s="20" t="inlineStr">
        <is>
          <t>Собрать дорожную карту перенастройки.</t>
        </is>
      </c>
    </row>
    <row r="7">
      <c r="A7" s="20" t="inlineStr">
        <is>
          <t>CPO Product / CTO</t>
        </is>
      </c>
      <c r="B7" s="20" t="inlineStr">
        <is>
          <t>Продуктовые решения, сроки разработки, технический долг</t>
        </is>
      </c>
      <c r="C7" s="18" t="n"/>
      <c r="D7" s="18" t="n"/>
      <c r="E7" s="18" t="n"/>
      <c r="F7" s="18" t="n"/>
      <c r="G7" s="18" t="n"/>
      <c r="H7" s="18" t="n"/>
      <c r="I7" s="18" t="n"/>
    </row>
    <row r="8">
      <c r="A8" s="20" t="inlineStr">
        <is>
          <t>COO / CHRO</t>
        </is>
      </c>
      <c r="B8" s="20" t="inlineStr">
        <is>
          <t>Производительность, оргизменения, люди, нагрузка</t>
        </is>
      </c>
      <c r="C8" s="18" t="n"/>
      <c r="D8" s="18" t="n"/>
      <c r="E8" s="18" t="n"/>
      <c r="F8" s="18" t="n"/>
      <c r="G8" s="18" t="n"/>
      <c r="H8" s="18" t="n"/>
      <c r="I8" s="18" t="n"/>
    </row>
    <row r="9">
      <c r="A9" s="20" t="inlineStr">
        <is>
          <t>CIO / CAO Analytics</t>
        </is>
      </c>
      <c r="B9" s="20" t="inlineStr">
        <is>
          <t>Системы, данные, единая версия фактов</t>
        </is>
      </c>
      <c r="C9" s="18" t="n"/>
      <c r="D9" s="18" t="n"/>
      <c r="E9" s="18" t="n"/>
      <c r="F9" s="18" t="n"/>
      <c r="G9" s="18" t="n"/>
      <c r="H9" s="18" t="n"/>
      <c r="I9" s="18" t="n"/>
    </row>
    <row r="10">
      <c r="A10" s="20" t="inlineStr">
        <is>
          <t>CRO Risk / CCO</t>
        </is>
      </c>
      <c r="B10" s="20" t="inlineStr">
        <is>
          <t>Риск, допустимость, комплаенс, контроль</t>
        </is>
      </c>
      <c r="C10" s="18" t="n"/>
      <c r="D10" s="18" t="n"/>
      <c r="E10" s="18" t="n"/>
      <c r="F10" s="18" t="n"/>
      <c r="G10" s="18" t="n"/>
      <c r="H10" s="18" t="n"/>
      <c r="I10" s="18" t="n"/>
    </row>
    <row r="11">
      <c r="A11" s="20" t="inlineStr">
        <is>
          <t>CAIO / CIO</t>
        </is>
      </c>
      <c r="B11" s="20" t="inlineStr">
        <is>
          <t>AI / ИИ-сценарии, данные, безопасность, интеграция</t>
        </is>
      </c>
      <c r="C11" s="18" t="n"/>
      <c r="D11" s="18" t="n"/>
      <c r="E11" s="18" t="n"/>
      <c r="F11" s="18" t="n"/>
      <c r="G11" s="18" t="n"/>
      <c r="H11" s="18" t="n"/>
      <c r="I11" s="18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CLM_BLOCK_06_SYNCHRONIZATION_MODULE_RELEASE_V1_LIGHT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2026-07-07T13:55:11Z</dcterms:created>
  <dcterms:modified xmlns:dcterms="http://purl.org/dc/terms/" xmlns:xsi="http://www.w3.org/2001/XMLSchema-instance" xsi:type="dcterms:W3CDTF">2026-07-21T08:33:50Z</dcterms:modified>
</cp:coreProperties>
</file>