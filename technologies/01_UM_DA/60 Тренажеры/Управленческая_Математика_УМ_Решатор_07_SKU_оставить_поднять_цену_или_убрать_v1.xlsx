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850e21a54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2981d4cc078a4015"/>
    <x:sheet xmlns:r="http://schemas.openxmlformats.org/officeDocument/2006/relationships" name="01 Ввод" sheetId="2" r:id="R830f59d789f04e4e"/>
    <x:sheet xmlns:r="http://schemas.openxmlformats.org/officeDocument/2006/relationships" name="02 Расчет" sheetId="3" r:id="R8f22ddc223ae4a35"/>
    <x:sheet xmlns:r="http://schemas.openxmlformats.org/officeDocument/2006/relationships" name="03 Сценарии" sheetId="4" r:id="Rc7817d6803be4a4d"/>
    <x:sheet xmlns:r="http://schemas.openxmlformats.org/officeDocument/2006/relationships" name="04 Контуры" sheetId="5" r:id="Ra498ac85879648c8"/>
    <x:sheet xmlns:r="http://schemas.openxmlformats.org/officeDocument/2006/relationships" name="05 Статус" sheetId="6" r:id="R9cba88bc9a794a5a"/>
    <x:sheet xmlns:r="http://schemas.openxmlformats.org/officeDocument/2006/relationships" name="06 Ответ" sheetId="7" r:id="R055b808561684498"/>
    <x:sheet xmlns:r="http://schemas.openxmlformats.org/officeDocument/2006/relationships" name="07 Контроль" sheetId="8" r:id="Rd22734bf8a744aac"/>
    <x:sheet xmlns:r="http://schemas.openxmlformats.org/officeDocument/2006/relationships" name="08 Проверка" sheetId="9" r:id="R8f57ac68b105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96235b74d4200" /><Relationship Type="http://schemas.openxmlformats.org/officeDocument/2006/relationships/theme" Target="/xl/theme/theme1.xml" Id="R007740b01121413f" /><Relationship Type="http://schemas.openxmlformats.org/officeDocument/2006/relationships/sharedStrings" Target="/xl/sharedStrings.xml" Id="R13d1bd8446424313" /><Relationship Type="http://schemas.openxmlformats.org/officeDocument/2006/relationships/worksheet" Target="/xl/worksheets/sheet1.xml" Id="R2981d4cc078a4015" /><Relationship Type="http://schemas.openxmlformats.org/officeDocument/2006/relationships/worksheet" Target="/xl/worksheets/sheet2.xml" Id="R830f59d789f04e4e" /><Relationship Type="http://schemas.openxmlformats.org/officeDocument/2006/relationships/worksheet" Target="/xl/worksheets/sheet3.xml" Id="R8f22ddc223ae4a35" /><Relationship Type="http://schemas.openxmlformats.org/officeDocument/2006/relationships/worksheet" Target="/xl/worksheets/sheet4.xml" Id="Rc7817d6803be4a4d" /><Relationship Type="http://schemas.openxmlformats.org/officeDocument/2006/relationships/worksheet" Target="/xl/worksheets/sheet5.xml" Id="Ra498ac85879648c8" /><Relationship Type="http://schemas.openxmlformats.org/officeDocument/2006/relationships/worksheet" Target="/xl/worksheets/sheet6.xml" Id="R9cba88bc9a794a5a" /><Relationship Type="http://schemas.openxmlformats.org/officeDocument/2006/relationships/worksheet" Target="/xl/worksheets/sheet7.xml" Id="R055b808561684498" /><Relationship Type="http://schemas.openxmlformats.org/officeDocument/2006/relationships/worksheet" Target="/xl/worksheets/sheet8.xml" Id="Rd22734bf8a744aac" /><Relationship Type="http://schemas.openxmlformats.org/officeDocument/2006/relationships/worksheet" Target="/xl/worksheets/sheet9.xml" Id="R8f57ac68b105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6" t="str">
        <x:v>00 Каталог решаторов УМ</x:v>
      </x:c>
      <x:c r="B1" s="36" t="str">
        <x:v>00 Каталог решаторов УМ</x:v>
      </x:c>
      <x:c r="C1" s="36" t="str">
        <x:v>00 Каталог решаторов УМ</x:v>
      </x:c>
      <x:c r="D1" s="36" t="str">
        <x:v>00 Каталог решаторов УМ</x:v>
      </x:c>
      <x:c r="E1" s="36" t="str">
        <x:v>00 Каталог решаторов УМ</x:v>
      </x:c>
    </x:row>
    <x:row r="2" ht="15" hidden="0" customHeight="1">
      <x:c r="A2" s="38" t="str">
        <x:v>Навигационный лист: полный каталог типовых решаторов УМ / Управленческой математики и статус текущего файла.</x:v>
      </x:c>
      <x:c r="B2" s="38" t="str">
        <x:v>Навигационный лист: полный каталог типовых решаторов УМ / Управленческой математики и статус текущего файла.</x:v>
      </x:c>
      <x:c r="C2" s="38" t="str">
        <x:v>Навигационный лист: полный каталог типовых решаторов УМ / Управленческой математики и статус текущего файла.</x:v>
      </x:c>
      <x:c r="D2" s="38" t="str">
        <x:v>Навигационный лист: полный каталог типовых решаторов УМ / Управленческой математики и статус текущего файла.</x:v>
      </x:c>
      <x:c r="E2" s="3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3" t="str">
        <x:v>№</x:v>
      </x:c>
      <x:c r="B4" s="43" t="str">
        <x:v>Группа задач</x:v>
      </x:c>
      <x:c r="C4" s="43" t="str">
        <x:v>Название решатора</x:v>
      </x:c>
      <x:c r="D4" s="43" t="str">
        <x:v>Что показывает</x:v>
      </x:c>
      <x:c r="E4" s="43" t="str">
        <x:v>Статус</x:v>
      </x:c>
    </x:row>
    <x:row r="5" ht="15" hidden="0" customHeight="1">
      <x:c r="A5" s="44" t="n">
        <x:v>1</x:v>
      </x:c>
      <x:c r="B5" s="44" t="str">
        <x:v>Коммерческие условия</x:v>
      </x:c>
      <x:c r="C5" s="44" t="str">
        <x:v>Скидка и отсрочка клиента</x:v>
      </x:c>
      <x:c r="D5" s="44" t="str">
        <x:v>Какой рост закупки нужен, чтобы скидка и отсрочка не ухудшили результат.</x:v>
      </x:c>
      <x:c r="E5" s="44" t="str">
        <x:v>Создан</x:v>
      </x:c>
    </x:row>
    <x:row r="6" ht="15" hidden="0" customHeight="1">
      <x:c r="A6" s="44" t="n">
        <x:v>2</x:v>
      </x:c>
      <x:c r="B6" s="44" t="str">
        <x:v>Коммерческие условия</x:v>
      </x:c>
      <x:c r="C6" s="44" t="str">
        <x:v>Минимальный объем для спецусловий</x:v>
      </x:c>
      <x:c r="D6" s="44" t="str">
        <x:v>При каком объеме можно дать цену, бонус, отсрочку или индивидуальные условия.</x:v>
      </x:c>
      <x:c r="E6" s="44" t="str">
        <x:v>Создан</x:v>
      </x:c>
    </x:row>
    <x:row r="7" ht="15" hidden="0" customHeight="1">
      <x:c r="A7" s="44" t="n">
        <x:v>3</x:v>
      </x:c>
      <x:c r="B7" s="44" t="str">
        <x:v>Коммерческие условия</x:v>
      </x:c>
      <x:c r="C7" s="44" t="str">
        <x:v>Цена сделки после всех условий</x:v>
      </x:c>
      <x:c r="D7" s="44" t="str">
        <x:v>Реальную прибыльность клиента после скидок, бонусов, логистики и отсрочки.</x:v>
      </x:c>
      <x:c r="E7" s="44" t="str">
        <x:v>Создан</x:v>
      </x:c>
    </x:row>
    <x:row r="8" ht="15" hidden="0" customHeight="1">
      <x:c r="A8" s="44" t="n">
        <x:v>4</x:v>
      </x:c>
      <x:c r="B8" s="44" t="str">
        <x:v>Маркетинг и каналы</x:v>
      </x:c>
      <x:c r="C8" s="44" t="str">
        <x:v>Рекламный бюджет и ROMI / возврат маркетинговых инвестиций</x:v>
      </x:c>
      <x:c r="D8" s="44" t="str">
        <x:v>Какой объем продаж нужен, чтобы рекламный бюджет окупился.</x:v>
      </x:c>
      <x:c r="E8" s="44" t="str">
        <x:v>Создан</x:v>
      </x:c>
    </x:row>
    <x:row r="9" ht="15" hidden="0" customHeight="1">
      <x:c r="A9" s="44" t="n">
        <x:v>5</x:v>
      </x:c>
      <x:c r="B9" s="44" t="str">
        <x:v>Маркетинг и каналы</x:v>
      </x:c>
      <x:c r="C9" s="44" t="str">
        <x:v>Промо-акция без потери прибыли</x:v>
      </x:c>
      <x:c r="D9" s="44" t="str">
        <x:v>Какой рост продаж должен компенсировать скидку, промо и дополнительные расходы.</x:v>
      </x:c>
      <x:c r="E9" s="44" t="str">
        <x:v>Создан</x:v>
      </x:c>
    </x:row>
    <x:row r="10" ht="15" hidden="0" customHeight="1">
      <x:c r="A10" s="44" t="n">
        <x:v>6</x:v>
      </x:c>
      <x:c r="B10" s="44" t="str">
        <x:v>Маркетинг и каналы</x:v>
      </x:c>
      <x:c r="C10" s="44" t="str">
        <x:v>Канал продаж: выгодно или нет</x:v>
      </x:c>
      <x:c r="D10" s="44" t="str">
        <x:v>Чистый результат канала после комиссии, логистики, возвратов и налогового контура.</x:v>
      </x:c>
      <x:c r="E10" s="44" t="str">
        <x:v>Создан</x:v>
      </x:c>
    </x:row>
    <x:row r="11" ht="15" hidden="0" customHeight="1">
      <x:c r="A11" s="44" t="n">
        <x:v>7</x:v>
      </x:c>
      <x:c r="B11" s="44" t="str">
        <x:v>Маркетплейсы</x:v>
      </x:c>
      <x:c r="C11" s="44" t="str">
        <x:v>Маркетплейс: цена, комиссия, логистика</x:v>
      </x:c>
      <x:c r="D11" s="44" t="str">
        <x:v>Реальную маржу SKU / товарной позиции на маркетплейсе.</x:v>
      </x:c>
      <x:c r="E11" s="44" t="str">
        <x:v>Создан</x:v>
      </x:c>
    </x:row>
    <x:row r="12" ht="15" hidden="0" customHeight="1">
      <x:c r="A12" s="44" t="n">
        <x:v>8</x:v>
      </x:c>
      <x:c r="B12" s="44" t="str">
        <x:v>Маркетплейсы</x:v>
      </x:c>
      <x:c r="C12" s="44" t="str">
        <x:v>Участие в акции маркетплейса</x:v>
      </x:c>
      <x:c r="D12" s="44" t="str">
        <x:v>Можно ли входить в акцию и какой рост продаж нужен для сохранения результата.</x:v>
      </x:c>
      <x:c r="E12" s="44" t="str">
        <x:v>Создан</x:v>
      </x:c>
    </x:row>
    <x:row r="13" ht="15" hidden="0" customHeight="1">
      <x:c r="A13" s="47" t="n">
        <x:v>9</x:v>
      </x:c>
      <x:c r="B13" s="47" t="str">
        <x:v>Ассортимент и продукт</x:v>
      </x:c>
      <x:c r="C13" s="47" t="str">
        <x:v>SKU: оставить, поднять цену или убрать</x:v>
      </x:c>
      <x:c r="D13" s="47" t="str">
        <x:v>Какие товарные позиции создают результат, а какие съедают деньги.</x:v>
      </x:c>
      <x:c r="E13" s="47" t="str">
        <x:v>Текущий файл</x:v>
      </x:c>
    </x:row>
    <x:row r="14" ht="15" hidden="0" customHeight="1">
      <x:c r="A14" s="44" t="n">
        <x:v>10</x:v>
      </x:c>
      <x:c r="B14" s="44" t="str">
        <x:v>Ассортимент и продукт</x:v>
      </x:c>
      <x:c r="C14" s="44" t="str">
        <x:v>Новый продукт: точка допустимого запуска</x:v>
      </x:c>
      <x:c r="D14" s="44" t="str">
        <x:v>Минимальный объем, цена и маржа для запуска продукта.</x:v>
      </x:c>
      <x:c r="E14" s="44" t="str">
        <x:v>Создан</x:v>
      </x:c>
    </x:row>
    <x:row r="15" ht="15" hidden="0" customHeight="1">
      <x:c r="A15" s="44" t="n">
        <x:v>11</x:v>
      </x:c>
      <x:c r="B15" s="44" t="str">
        <x:v>Операции и логистика</x:v>
      </x:c>
      <x:c r="C15" s="44" t="str">
        <x:v>Запас и оборачиваемость</x:v>
      </x:c>
      <x:c r="D15" s="44" t="str">
        <x:v>Сколько денег замораживает запас и где начинается лишняя складская нагрузка.</x:v>
      </x:c>
      <x:c r="E15" s="44" t="str">
        <x:v>Создан</x:v>
      </x:c>
    </x:row>
    <x:row r="16" ht="15" hidden="0" customHeight="1">
      <x:c r="A16" s="44" t="n">
        <x:v>12</x:v>
      </x:c>
      <x:c r="B16" s="44" t="str">
        <x:v>Операции и логистика</x:v>
      </x:c>
      <x:c r="C16" s="44" t="str">
        <x:v>Производственная партия</x:v>
      </x:c>
      <x:c r="D16" s="44" t="str">
        <x:v>При каком объеме партия покрывает себестоимость, брак, логистику и операционные ограничения.</x:v>
      </x:c>
      <x:c r="E16" s="44" t="str">
        <x:v>Создан</x:v>
      </x:c>
    </x:row>
    <x:row r="17" ht="15" hidden="0" customHeight="1">
      <x:c r="A17" s="44" t="n">
        <x:v>13</x:v>
      </x:c>
      <x:c r="B17" s="44" t="str">
        <x:v>Операции и логистика</x:v>
      </x:c>
      <x:c r="C17" s="44" t="str">
        <x:v>SLA / уровень сервиса и цена выполнения</x:v>
      </x:c>
      <x:c r="D17" s="44" t="str">
        <x:v>Сколько стоит повышенный уровень сервиса и можно ли его обещать клиенту.</x:v>
      </x:c>
      <x:c r="E17" s="44" t="str">
        <x:v>Создан</x:v>
      </x:c>
    </x:row>
    <x:row r="18" ht="15" hidden="0" customHeight="1">
      <x:c r="A18" s="44" t="n">
        <x:v>14</x:v>
      </x:c>
      <x:c r="B18" s="44" t="str">
        <x:v>Финансы и деньги</x:v>
      </x:c>
      <x:c r="C18" s="44" t="str">
        <x:v>Денежный разрыв по решению</x:v>
      </x:c>
      <x:c r="D18" s="44" t="str">
        <x:v>Сколько денег нужно до поступления оплаты и выдерживает ли компания кассовый контур.</x:v>
      </x:c>
      <x:c r="E18" s="44" t="str">
        <x:v>Создан</x:v>
      </x:c>
    </x:row>
    <x:row r="19" ht="15" hidden="0" customHeight="1">
      <x:c r="A19" s="44" t="n">
        <x:v>15</x:v>
      </x:c>
      <x:c r="B19" s="44" t="str">
        <x:v>Финансы и деньги</x:v>
      </x:c>
      <x:c r="C19" s="44" t="str">
        <x:v>НДС и налоговый контур при ОСНО</x:v>
      </x:c>
      <x:c r="D19" s="44" t="str">
        <x:v>Как налоговый режим влияет на чистый результат и денежный поток.</x:v>
      </x:c>
      <x:c r="E19" s="44" t="str">
        <x:v>Создан</x:v>
      </x:c>
    </x:row>
    <x:row r="20" ht="15" hidden="0" customHeight="1">
      <x:c r="A20" s="44" t="n">
        <x:v>16</x:v>
      </x:c>
      <x:c r="B20" s="44" t="str">
        <x:v>Финансы и деньги</x:v>
      </x:c>
      <x:c r="C20" s="44" t="str">
        <x:v>ROI / возврат инвестиций и срок окупаемости</x:v>
      </x:c>
      <x:c r="D20" s="44" t="str">
        <x:v>Окупается ли вложение и при каких сценариях оно становится недопустимым.</x:v>
      </x:c>
      <x:c r="E20" s="44" t="str">
        <x:v>Создан</x:v>
      </x:c>
    </x:row>
    <x:row r="21" ht="15" hidden="0" customHeight="1">
      <x:c r="A21" s="44" t="n">
        <x:v>17</x:v>
      </x:c>
      <x:c r="B21" s="44" t="str">
        <x:v>Специальные решения</x:v>
      </x:c>
      <x:c r="C21" s="44" t="str">
        <x:v>TCO / совокупная стоимость владения проекта</x:v>
      </x:c>
      <x:c r="D21" s="44" t="str">
        <x:v>Полную стоимость решения: покупка, внедрение, поддержка, люди, риски.</x:v>
      </x:c>
      <x:c r="E21" s="44" t="str">
        <x:v>Создан</x:v>
      </x:c>
    </x:row>
    <x:row r="22" ht="15" hidden="0" customHeight="1">
      <x:c r="A22" s="44" t="n">
        <x:v>18</x:v>
      </x:c>
      <x:c r="B22" s="44" t="str">
        <x:v>Специальные решения</x:v>
      </x:c>
      <x:c r="C22" s="44" t="str">
        <x:v>Найм / подрядчик / автоматизация</x:v>
      </x:c>
      <x:c r="D22" s="44" t="str">
        <x:v>Что выгоднее: человек, подрядчик, автоматизация или отказ от инициативы.</x:v>
      </x:c>
      <x:c r="E22" s="44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SKU оставить, поднять цену или убрать</x:v>
      </x:c>
      <x:c r="B1" s="4" t="str">
        <x:v>УМ решатор: SKU оставить, поднять цену или убрать</x:v>
      </x:c>
      <x:c r="C1" s="4" t="str">
        <x:v>УМ решатор: SKU оставить, поднять цену или убрать</x:v>
      </x:c>
      <x:c r="D1" s="4" t="str">
        <x:v>УМ решатор: SKU оставить, поднять цену или убрать</x:v>
      </x:c>
      <x:c r="E1" s="4" t="str">
        <x:v>УМ решатор: SKU оставить, поднять цену или убрать</x:v>
      </x:c>
      <x:c r="F1" s="4" t="str">
        <x:v>УМ решатор: SKU оставить, поднять цену или убрать</x:v>
      </x:c>
    </x:row>
    <x:row r="2" ht="15" hidden="0" customHeight="1">
      <x:c r="A2" s="6" t="str">
        <x:v>Показывает, создает ли SKU / товарная позиция результат, требует ли повышения цены или должна быть выведена из ассортимента.</x:v>
      </x:c>
      <x:c r="B2" s="6" t="str">
        <x:v>Показывает, создает ли SKU / товарная позиция результат, требует ли повышения цены или должна быть выведена из ассортимента.</x:v>
      </x:c>
      <x:c r="C2" s="6" t="str">
        <x:v>Показывает, создает ли SKU / товарная позиция результат, требует ли повышения цены или должна быть выведена из ассортимента.</x:v>
      </x:c>
      <x:c r="D2" s="6" t="str">
        <x:v>Показывает, создает ли SKU / товарная позиция результат, требует ли повышения цены или должна быть выведена из ассортимента.</x:v>
      </x:c>
      <x:c r="E2" s="6" t="str">
        <x:v>Показывает, создает ли SKU / товарная позиция результат, требует ли повышения цены или должна быть выведена из ассортимента.</x:v>
      </x:c>
      <x:c r="F2" s="6" t="str">
        <x:v>Показывает, создает ли SKU / товарная позиция результат, требует ли повышения цены или должна быть выведена из ассортимента.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Продажи</x:v>
      </x:c>
      <x:c r="B5" s="13" t="str">
        <x:v>Текущий объем продаж</x:v>
      </x:c>
      <x:c r="C5" s="19" t="n">
        <x:v>1200</x:v>
      </x:c>
      <x:c r="D5" s="13" t="str">
        <x:v>шт.</x:v>
      </x:c>
      <x:c r="E5" s="13" t="str">
        <x:v>Продажи SKU за период.</x:v>
      </x:c>
      <x:c r="F5" s="13" t="str">
        <x:v>Ввод</x:v>
      </x:c>
    </x:row>
    <x:row r="6" ht="15" hidden="0" customHeight="1">
      <x:c r="A6" s="13" t="str">
        <x:v>Цена</x:v>
      </x:c>
      <x:c r="B6" s="13" t="str">
        <x:v>Цена без НДС</x:v>
      </x:c>
      <x:c r="C6" s="19" t="n">
        <x:v>1800</x:v>
      </x:c>
      <x:c r="D6" s="13" t="str">
        <x:v>руб.</x:v>
      </x:c>
      <x:c r="E6" s="13" t="str">
        <x:v>Цена реализации без НДС.</x:v>
      </x:c>
      <x:c r="F6" s="13" t="str">
        <x:v>Ввод</x:v>
      </x:c>
    </x:row>
    <x:row r="7" ht="15" hidden="0" customHeight="1">
      <x:c r="A7" s="13" t="str">
        <x:v>Себестоимость</x:v>
      </x:c>
      <x:c r="B7" s="13" t="str">
        <x:v>Себестоимость единицы</x:v>
      </x:c>
      <x:c r="C7" s="19" t="n">
        <x:v>1050</x:v>
      </x:c>
      <x:c r="D7" s="13" t="str">
        <x:v>руб.</x:v>
      </x:c>
      <x:c r="E7" s="13" t="str">
        <x:v>Закупка или производство.</x:v>
      </x:c>
      <x:c r="F7" s="13" t="str">
        <x:v>Ввод</x:v>
      </x:c>
    </x:row>
    <x:row r="8" ht="15" hidden="0" customHeight="1">
      <x:c r="A8" s="13" t="str">
        <x:v>Расходы</x:v>
      </x:c>
      <x:c r="B8" s="13" t="str">
        <x:v>Логистика на единицу</x:v>
      </x:c>
      <x:c r="C8" s="19" t="n">
        <x:v>180</x:v>
      </x:c>
      <x:c r="D8" s="13" t="str">
        <x:v>руб.</x:v>
      </x:c>
      <x:c r="E8" s="13" t="str">
        <x:v>Доставка, склад, обработка.</x:v>
      </x:c>
      <x:c r="F8" s="13" t="str">
        <x:v>Ввод</x:v>
      </x:c>
    </x:row>
    <x:row r="9" ht="15" hidden="0" customHeight="1">
      <x:c r="A9" s="13" t="str">
        <x:v>Расходы</x:v>
      </x:c>
      <x:c r="B9" s="13" t="str">
        <x:v>Комиссии и возвраты на единицу</x:v>
      </x:c>
      <x:c r="C9" s="19" t="n">
        <x:v>120</x:v>
      </x:c>
      <x:c r="D9" s="13" t="str">
        <x:v>руб.</x:v>
      </x:c>
      <x:c r="E9" s="13" t="str">
        <x:v>Комиссия канала, возвраты, эквайринг.</x:v>
      </x:c>
      <x:c r="F9" s="13" t="str">
        <x:v>Ввод</x:v>
      </x:c>
    </x:row>
    <x:row r="10" ht="15" hidden="0" customHeight="1">
      <x:c r="A10" s="13" t="str">
        <x:v>Расходы</x:v>
      </x:c>
      <x:c r="B10" s="13" t="str">
        <x:v>Фиксированные расходы SKU</x:v>
      </x:c>
      <x:c r="C10" s="19" t="n">
        <x:v>300000</x:v>
      </x:c>
      <x:c r="D10" s="13" t="str">
        <x:v>руб.</x:v>
      </x:c>
      <x:c r="E10" s="13" t="str">
        <x:v>Полка, поддержка, контент, администрирование.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Минимальная маржа SKU</x:v>
      </x:c>
      <x:c r="C11" s="20" t="n">
        <x:v>0.18</x:v>
      </x:c>
      <x:c r="D11" s="13" t="str">
        <x:v>%</x:v>
      </x:c>
      <x:c r="E11" s="13" t="str">
        <x:v>Порог управленческой маржи.</x:v>
      </x:c>
      <x:c r="F11" s="13" t="str">
        <x:v>Ввод</x:v>
      </x:c>
    </x:row>
    <x:row r="12" ht="15" hidden="0" customHeight="1">
      <x:c r="A12" s="13" t="str">
        <x:v>Порог</x:v>
      </x:c>
      <x:c r="B12" s="13" t="str">
        <x:v>Минимальный результат SKU</x:v>
      </x:c>
      <x:c r="C12" s="19" t="n">
        <x:v>200000</x:v>
      </x:c>
      <x:c r="D12" s="13" t="str">
        <x:v>руб.</x:v>
      </x:c>
      <x:c r="E12" s="13" t="str">
        <x:v>Минимальный вклад в период.</x:v>
      </x:c>
      <x:c r="F12" s="13" t="str">
        <x:v>Ввод</x:v>
      </x:c>
    </x:row>
    <x:row r="13" ht="15" hidden="0" customHeight="1">
      <x:c r="A13" s="13" t="str">
        <x:v>Факт</x:v>
      </x:c>
      <x:c r="B13" s="13" t="str">
        <x:v>Налоговый режим</x:v>
      </x:c>
      <x:c r="C13" s="18" t="str">
        <x:v>ОСНО</x:v>
      </x:c>
      <x:c r="D13" s="13" t="str">
        <x:v>режим</x:v>
      </x:c>
      <x:c r="E13" s="13" t="str">
        <x:v>При ОСНО цена без НДС.</x:v>
      </x:c>
      <x:c r="F13" s="13" t="str">
        <x:v>Ввод</x:v>
      </x:c>
    </x:row>
    <x:row r="14" ht="15" hidden="0" customHeight="1">
      <x:c r="A14" s="13" t="str">
        <x:v>Данные</x:v>
      </x:c>
      <x:c r="B14" s="13" t="str">
        <x:v>Данные подтверждены</x:v>
      </x:c>
      <x:c r="C14" s="18" t="str">
        <x:v>Да</x:v>
      </x:c>
      <x:c r="D14" s="13" t="str">
        <x:v>Да/Нет</x:v>
      </x:c>
      <x:c r="E14" s="13" t="str">
        <x:v>Подтверждены цена, объем, расходы.</x:v>
      </x:c>
      <x:c r="F14" s="13" t="str">
        <x:v>Ввод</x:v>
      </x:c>
    </x:row>
    <x:row r="15" ht="15" hidden="0" customHeight="1">
      <x:c r="A15" s="13" t="str">
        <x:v>Контроль</x:v>
      </x:c>
      <x:c r="B15" s="13" t="str">
        <x:v>Дата первого контроля</x:v>
      </x:c>
      <x:c r="C15" s="21" t="n">
        <x:v>46235</x:v>
      </x:c>
      <x:c r="D15" s="13" t="str">
        <x:v>дата</x:v>
      </x:c>
      <x:c r="E15" s="13" t="str">
        <x:v>Дата проверки SKU.</x:v>
      </x:c>
      <x:c r="F15" s="13" t="str">
        <x:v>Ввод</x:v>
      </x:c>
    </x:row>
    <x:row r="16" ht="15" hidden="0" customHeight="1">
      <x:c r="A16" s="13" t="str">
        <x:v>Ответственный</x:v>
      </x:c>
      <x:c r="B16" s="13" t="str">
        <x:v>Категорийный менеджер</x:v>
      </x:c>
      <x:c r="C16" s="18" t="str">
        <x:v>Категорийный менеджер</x:v>
      </x:c>
      <x:c r="D16" s="13" t="str">
        <x:v>роль</x:v>
      </x:c>
      <x:c r="E16" s="13" t="str">
        <x:v>Владелец SKU.</x:v>
      </x:c>
      <x:c r="F16" s="13" t="str">
        <x:v>Ввод</x:v>
      </x:c>
    </x:row>
  </x:sheetData>
  <x:mergeCells>
    <x:mergeCell ref="A1:F1"/>
    <x:mergeCell ref="A2:F2"/>
  </x:mergeCells>
  <x:dataValidations count="1">
    <x:dataValidation type="list" sqref="C14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Маржа</x:v>
      </x:c>
      <x:c r="B5" s="13" t="str">
        <x:v>Вклад на единицу</x:v>
      </x:c>
      <x:c r="C5" s="23" t="n">
        <x:f>'01 Ввод'!C6-'01 Ввод'!C7-'01 Ввод'!C8-'01 Ввод'!C9</x:f>
        <x:v>450</x:v>
      </x:c>
      <x:c r="D5" s="13" t="str">
        <x:v>руб.</x:v>
      </x:c>
      <x:c r="E5" s="13" t="str">
        <x:v>Цена минус переменные расходы.</x:v>
      </x:c>
    </x:row>
    <x:row r="6" ht="15" hidden="0" customHeight="1">
      <x:c r="A6" s="13" t="str">
        <x:v>Маржа</x:v>
      </x:c>
      <x:c r="B6" s="13" t="str">
        <x:v>Маржа SKU</x:v>
      </x:c>
      <x:c r="C6" s="24" t="n">
        <x:f>IFERROR(C5/'01 Ввод'!C6,0)</x:f>
        <x:v>0.25</x:v>
      </x:c>
      <x:c r="D6" s="13" t="str">
        <x:v>%</x:v>
      </x:c>
      <x:c r="E6" s="13" t="str">
        <x:v>Вклад / цена.</x:v>
      </x:c>
    </x:row>
    <x:row r="7" ht="15" hidden="0" customHeight="1">
      <x:c r="A7" s="13" t="str">
        <x:v>Итог</x:v>
      </x:c>
      <x:c r="B7" s="13" t="str">
        <x:v>Результат SKU</x:v>
      </x:c>
      <x:c r="C7" s="23" t="n">
        <x:f>C5*'01 Ввод'!C5-'01 Ввод'!C10</x:f>
        <x:v>240000</x:v>
      </x:c>
      <x:c r="D7" s="13" t="str">
        <x:v>руб.</x:v>
      </x:c>
      <x:c r="E7" s="13" t="str">
        <x:v>Вклад × объем - фиксированные расходы.</x:v>
      </x:c>
    </x:row>
    <x:row r="8" ht="15" hidden="0" customHeight="1">
      <x:c r="A8" s="13" t="str">
        <x:v>Порог</x:v>
      </x:c>
      <x:c r="B8" s="13" t="str">
        <x:v>Объем безубыточности</x:v>
      </x:c>
      <x:c r="C8" s="23" t="n">
        <x:f>IF(C5&lt;=0,999999,'01 Ввод'!C10/C5)</x:f>
        <x:v>666.6666666666666</x:v>
      </x:c>
      <x:c r="D8" s="13" t="str">
        <x:v>шт.</x:v>
      </x:c>
      <x:c r="E8" s="13" t="str">
        <x:v>Фиксированные расходы / вклад.</x:v>
      </x:c>
    </x:row>
    <x:row r="9" ht="15" hidden="0" customHeight="1">
      <x:c r="A9" s="13" t="str">
        <x:v>Цена</x:v>
      </x:c>
      <x:c r="B9" s="13" t="str">
        <x:v>Цена для целевой маржи</x:v>
      </x:c>
      <x:c r="C9" s="23" t="n">
        <x:f>IF(1-'01 Ввод'!C11&lt;=0,999999,('01 Ввод'!C7+'01 Ввод'!C8+'01 Ввод'!C9)/(1-'01 Ввод'!C11))</x:f>
        <x:v>1646.341463414634</x:v>
      </x:c>
      <x:c r="D9" s="13" t="str">
        <x:v>руб.</x:v>
      </x:c>
      <x:c r="E9" s="13" t="str">
        <x:v>Цена, при которой маржа достигает порога.</x:v>
      </x:c>
    </x:row>
    <x:row r="10" ht="15" hidden="0" customHeight="1">
      <x:c r="A10" s="13" t="str">
        <x:v>Цена</x:v>
      </x:c>
      <x:c r="B10" s="13" t="str">
        <x:v>Требуемое повышение цены</x:v>
      </x:c>
      <x:c r="C10" s="23" t="n">
        <x:f>MAX(0,C9-'01 Ввод'!C6)</x:f>
        <x:v>0</x:v>
      </x:c>
      <x:c r="D10" s="13" t="str">
        <x:v>руб.</x:v>
      </x:c>
      <x:c r="E10" s="13" t="str">
        <x:v>Насколько нужно поднять цену.</x:v>
      </x:c>
    </x:row>
    <x:row r="11" ht="15" hidden="0" customHeight="1">
      <x:c r="A11" s="13" t="str">
        <x:v>Статус</x:v>
      </x:c>
      <x:c r="B11" s="13" t="str">
        <x:v>Дельта к минимальному результату</x:v>
      </x:c>
      <x:c r="C11" s="23" t="n">
        <x:f>C7-'01 Ввод'!C12</x:f>
        <x:v>40000</x:v>
      </x:c>
      <x:c r="D11" s="13" t="str">
        <x:v>руб.</x:v>
      </x:c>
      <x:c r="E11" s="13" t="str">
        <x:v>Результат SKU - минимальный результат.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Текущая цена</x:v>
      </x:c>
      <x:c r="B5" s="25" t="n">
        <x:f>'01 Ввод'!C6</x:f>
        <x:v>1800</x:v>
      </x:c>
      <x:c r="C5" s="25" t="n">
        <x:f>'02 Расчет'!C7</x:f>
        <x:v>240000</x:v>
      </x:c>
      <x:c r="D5" s="25" t="n">
        <x:f>C5</x:f>
        <x:v>240000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Цена +5%</x:v>
      </x:c>
      <x:c r="B6" s="25" t="n">
        <x:f>'01 Ввод'!C6*1.05</x:f>
        <x:v>1890</x:v>
      </x:c>
      <x:c r="C6" s="25" t="n">
        <x:f>(B6-'01 Ввод'!C7-'01 Ввод'!C8-'01 Ввод'!C9)*'01 Ввод'!C5-'01 Ввод'!C10</x:f>
        <x:v>348000</x:v>
      </x:c>
      <x:c r="D6" s="25" t="n">
        <x:f>C6</x:f>
        <x:v>348000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Цена +10%</x:v>
      </x:c>
      <x:c r="B7" s="25" t="n">
        <x:f>'01 Ввод'!C6*1.10</x:f>
        <x:v>1980.0000000000002</x:v>
      </x:c>
      <x:c r="C7" s="25" t="n">
        <x:f>(B7-'01 Ввод'!C7-'01 Ввод'!C8-'01 Ввод'!C9)*'01 Ввод'!C5-'01 Ввод'!C10</x:f>
        <x:v>456000.00000000023</x:v>
      </x:c>
      <x:c r="D7" s="25" t="n">
        <x:f>C7</x:f>
        <x:v>456000.00000000023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Объем -20%</x:v>
      </x:c>
      <x:c r="B8" s="25" t="n">
        <x:f>'01 Ввод'!C5*0.8</x:f>
        <x:v>960</x:v>
      </x:c>
      <x:c r="C8" s="25" t="n">
        <x:f>'02 Расчет'!C5*B8-'01 Ввод'!C10</x:f>
        <x:v>132000</x:v>
      </x:c>
      <x:c r="D8" s="25" t="n">
        <x:f>C8</x:f>
        <x:v>132000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Вывод из SKU</x:v>
      </x:c>
      <x:c r="B9" s="25" t="n">
        <x:f>0</x:f>
        <x:v>0</x:v>
      </x:c>
      <x:c r="C9" s="25" t="n">
        <x:f>0</x:f>
        <x:v>0</x:v>
      </x:c>
      <x:c r="D9" s="25" t="n">
        <x:f>C9</x:f>
        <x:v>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Маржа</x:v>
      </x:c>
      <x:c r="B5" s="13" t="str">
        <x:v>Маржа проходит порог</x:v>
      </x:c>
      <x:c r="C5" s="13" t="str">
        <x:f>IF('02 Расчет'!C6&gt;='01 Ввод'!C11,"ОК","Провал")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Результат</x:v>
      </x:c>
      <x:c r="B6" s="13" t="str">
        <x:v>SKU дает минимальный результат</x:v>
      </x:c>
      <x:c r="C6" s="13" t="str">
        <x:f>IF('02 Расчет'!C7&gt;='01 Ввод'!C12,"ОК","Провал")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Данные подтверждены</x:v>
      </x:c>
      <x:c r="C7" s="13" t="str">
        <x:f>IF('01 Ввод'!C14="Да","ОК","Провал")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Маржа SKU</x:v>
      </x:c>
      <x:c r="B5" s="24" t="n">
        <x:f>'02 Расчет'!C6</x:f>
        <x:v>0.25</x:v>
      </x:c>
      <x:c r="C5" s="13" t="str">
        <x:v>Минимум задан на вводе.</x:v>
      </x:c>
    </x:row>
    <x:row r="6" ht="15" hidden="0" customHeight="1">
      <x:c r="A6" s="13" t="str">
        <x:v>Результат SKU</x:v>
      </x:c>
      <x:c r="B6" s="23" t="n">
        <x:f>'02 Расчет'!C7</x:f>
        <x:v>240000</x:v>
      </x:c>
      <x:c r="C6" s="13" t="str">
        <x:v>Проверка вклада.</x:v>
      </x:c>
    </x:row>
    <x:row r="7" ht="15" hidden="0" customHeight="1">
      <x:c r="A7" s="13" t="str">
        <x:v>Требуемое повышение цены</x:v>
      </x:c>
      <x:c r="B7" s="23" t="n">
        <x:f>'02 Расчет'!C10</x:f>
        <x:v>0</x:v>
      </x:c>
      <x:c r="C7" s="13" t="str">
        <x:v>Если больше 0, SKU требует цены или вывода.</x:v>
      </x:c>
    </x:row>
    <x:row r="8" ht="15" hidden="0" customHeight="1">
      <x:c r="A8" s="13" t="str">
        <x:v>Качество данных</x:v>
      </x:c>
      <x:c r="B8" s="22" t="str">
        <x:f>'01 Ввод'!C14</x:f>
        <x:v>Да</x:v>
      </x:c>
      <x:c r="C8" s="13" t="str">
        <x:v>Да/Нет.</x:v>
      </x:c>
    </x:row>
    <x:row r="9" ht="15" hidden="0" customHeight="1">
      <x:c r="A9" s="27" t="str">
        <x:v>Статус решения</x:v>
      </x:c>
      <x:c r="B9" s="27" t="str">
        <x:f>IF(AND(B5&gt;='01 Ввод'!C11,B6&gt;='01 Ввод'!C12,B8="Да"),"Можно",IF(AND(B6&gt;=0,B8="Да"),"Можно при условиях","Нельзя в текущей модели"))</x:f>
        <x:v>Можно</x:v>
      </x:c>
      <x:c r="C9" s="27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IF('05 Статус'!B9="Можно","SKU можно оставить в ассортименте.","SKU нельзя оставлять без изменения цены, расходов или объема.")</x:f>
        <x:v>SKU можно оставить в ассортименте.</x:v>
      </x:c>
    </x:row>
    <x:row r="6" ht="15" hidden="0" customHeight="1">
      <x:c r="A6" s="26" t="str">
        <x:v>Условия</x:v>
      </x:c>
      <x:c r="B6" s="26" t="str">
        <x:f>"Минимальное повышение цены для целевой маржи: "&amp;TEXT('02 Расчет'!C10,"#,##0")&amp;" руб.; дельта результата: "&amp;TEXT('02 Расчет'!C11,"#,##0")&amp;" руб."</x:f>
        <x:v>Минимальное повышение цены для целевой маржи: 0 руб.; дельта результата: 40,000 руб.</x:v>
      </x:c>
    </x:row>
    <x:row r="7" ht="15" hidden="0" customHeight="1">
      <x:c r="A7" s="26" t="str">
        <x:v>Пояснение</x:v>
      </x:c>
      <x:c r="B7" s="32" t="str">
        <x:f>"УМ проверяет SKU через вклад, маржу, фиксированную нагрузку и порог результата, а не через выручку."</x:f>
        <x:v>УМ проверяет SKU через вклад, маржу, фиксированную нагрузку и порог результата, а не через выручку.</x:v>
      </x:c>
    </x:row>
    <x:row r="8" ht="15" hidden="0" customHeight="1">
      <x:c r="A8" s="26" t="str">
        <x:v>Если условия не принимаются</x:v>
      </x:c>
      <x:c r="B8" s="26" t="str">
        <x:f>IF('05 Статус'!B9="Нельзя в текущей модели","Вывести SKU или пересобрать экономику.","Запускать только с контролем маржи и результата.")</x:f>
        <x:v>Запускать только с контролем маржи и результата.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Маржа SKU</x:v>
      </x:c>
      <x:c r="B5" s="13" t="n">
        <x:f>'01 Ввод'!C11</x:f>
        <x:v>0.18</x:v>
      </x:c>
      <x:c r="C5" s="18"/>
      <x:c r="D5" s="13" t="str">
        <x:f>IF(C5="","ждет факта",IF(C5&gt;=B5,"ОК","Отклонение"))</x:f>
        <x:v>ждет факта</x:v>
      </x:c>
      <x:c r="E5" s="13" t="str">
        <x:v>Поднять цену или снизить расходы.</x:v>
      </x:c>
      <x:c r="F5" s="13" t="str">
        <x:v>Категорийный менеджер</x:v>
      </x:c>
    </x:row>
    <x:row r="6" ht="15" hidden="0" customHeight="1">
      <x:c r="A6" s="13" t="str">
        <x:v>Результат SKU</x:v>
      </x:c>
      <x:c r="B6" s="13" t="n">
        <x:f>'01 Ввод'!C12</x:f>
        <x:v>200000</x:v>
      </x:c>
      <x:c r="C6" s="18"/>
      <x:c r="D6" s="13" t="str">
        <x:f>IF(C6="","ждет факта",IF(C6&gt;=B6,"ОК","Отклонение"))</x:f>
        <x:v>ждет факта</x:v>
      </x:c>
      <x:c r="E6" s="13" t="str">
        <x:v>Вывести или пересобрать SKU.</x:v>
      </x:c>
      <x:c r="F6" s="13" t="str">
        <x:v>Категорийный менеджер</x:v>
      </x:c>
    </x:row>
    <x:row r="7" ht="15" hidden="0" customHeight="1">
      <x:c r="A7" s="13" t="str">
        <x:v>Дата контроля</x:v>
      </x:c>
      <x:c r="B7" s="13" t="n">
        <x:f>'01 Ввод'!C15</x:f>
        <x:v>46235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маржи.</x:v>
      </x:c>
      <x:c r="F7" s="13" t="str">
        <x:v>Категорийный менеджер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