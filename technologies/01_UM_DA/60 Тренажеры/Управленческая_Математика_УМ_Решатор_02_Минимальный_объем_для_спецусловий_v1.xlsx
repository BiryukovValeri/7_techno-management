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8808a55fa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c0cbf661955d4563"/>
    <x:sheet xmlns:r="http://schemas.openxmlformats.org/officeDocument/2006/relationships" name="01 Ввод" sheetId="2" r:id="R068717c675254b21"/>
    <x:sheet xmlns:r="http://schemas.openxmlformats.org/officeDocument/2006/relationships" name="02 Расчет" sheetId="3" r:id="R07990f97a10f4a4f"/>
    <x:sheet xmlns:r="http://schemas.openxmlformats.org/officeDocument/2006/relationships" name="03 Сценарии" sheetId="4" r:id="Rb059e0bbf6fd45cc"/>
    <x:sheet xmlns:r="http://schemas.openxmlformats.org/officeDocument/2006/relationships" name="04 Контуры" sheetId="5" r:id="R998776cc6f8b4d00"/>
    <x:sheet xmlns:r="http://schemas.openxmlformats.org/officeDocument/2006/relationships" name="05 Статус" sheetId="6" r:id="Rf108a727f7574fc2"/>
    <x:sheet xmlns:r="http://schemas.openxmlformats.org/officeDocument/2006/relationships" name="06 Ответ" sheetId="7" r:id="R51a0c7079f7344db"/>
    <x:sheet xmlns:r="http://schemas.openxmlformats.org/officeDocument/2006/relationships" name="07 Контроль" sheetId="8" r:id="R17c0032ab9be4160"/>
    <x:sheet xmlns:r="http://schemas.openxmlformats.org/officeDocument/2006/relationships" name="08 Проверка" sheetId="9" r:id="R073c3977c24a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EAF3F6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4" fillId="20" borderId="1" xfId="0" applyNumberFormat="1" applyFont="1" applyFill="1" applyBorder="1" applyAlignment="1">
      <x:alignment wrapText="1"/>
    </x:xf>
    <x:xf numFmtId="0" fontId="5" fillId="2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0cce4795543a0" /><Relationship Type="http://schemas.openxmlformats.org/officeDocument/2006/relationships/theme" Target="/xl/theme/theme1.xml" Id="Rd972ef8da1154473" /><Relationship Type="http://schemas.openxmlformats.org/officeDocument/2006/relationships/sharedStrings" Target="/xl/sharedStrings.xml" Id="Ra2551adf36964aae" /><Relationship Type="http://schemas.openxmlformats.org/officeDocument/2006/relationships/worksheet" Target="/xl/worksheets/sheet1.xml" Id="Rc0cbf661955d4563" /><Relationship Type="http://schemas.openxmlformats.org/officeDocument/2006/relationships/worksheet" Target="/xl/worksheets/sheet2.xml" Id="R068717c675254b21" /><Relationship Type="http://schemas.openxmlformats.org/officeDocument/2006/relationships/worksheet" Target="/xl/worksheets/sheet3.xml" Id="R07990f97a10f4a4f" /><Relationship Type="http://schemas.openxmlformats.org/officeDocument/2006/relationships/worksheet" Target="/xl/worksheets/sheet4.xml" Id="Rb059e0bbf6fd45cc" /><Relationship Type="http://schemas.openxmlformats.org/officeDocument/2006/relationships/worksheet" Target="/xl/worksheets/sheet5.xml" Id="R998776cc6f8b4d00" /><Relationship Type="http://schemas.openxmlformats.org/officeDocument/2006/relationships/worksheet" Target="/xl/worksheets/sheet6.xml" Id="Rf108a727f7574fc2" /><Relationship Type="http://schemas.openxmlformats.org/officeDocument/2006/relationships/worksheet" Target="/xl/worksheets/sheet7.xml" Id="R51a0c7079f7344db" /><Relationship Type="http://schemas.openxmlformats.org/officeDocument/2006/relationships/worksheet" Target="/xl/worksheets/sheet8.xml" Id="R17c0032ab9be4160" /><Relationship Type="http://schemas.openxmlformats.org/officeDocument/2006/relationships/worksheet" Target="/xl/worksheets/sheet9.xml" Id="R073c3977c24a4e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53" t="str">
        <x:v>00 Каталог решаторов УМ</x:v>
      </x:c>
      <x:c r="B1" s="53" t="str">
        <x:v>00 Каталог решаторов УМ</x:v>
      </x:c>
      <x:c r="C1" s="53" t="str">
        <x:v>00 Каталог решаторов УМ</x:v>
      </x:c>
      <x:c r="D1" s="53" t="str">
        <x:v>00 Каталог решаторов УМ</x:v>
      </x:c>
      <x:c r="E1" s="53" t="str">
        <x:v>00 Каталог решаторов УМ</x:v>
      </x:c>
    </x:row>
    <x:row r="2" ht="15" hidden="0" customHeight="1">
      <x:c r="A2" s="55" t="str">
        <x:v>Навигационный лист: полный каталог типовых решаторов УМ / Управленческой математики и статус текущего файла.</x:v>
      </x:c>
      <x:c r="B2" s="55" t="str">
        <x:v>Навигационный лист: полный каталог типовых решаторов УМ / Управленческой математики и статус текущего файла.</x:v>
      </x:c>
      <x:c r="C2" s="55" t="str">
        <x:v>Навигационный лист: полный каталог типовых решаторов УМ / Управленческой математики и статус текущего файла.</x:v>
      </x:c>
      <x:c r="D2" s="55" t="str">
        <x:v>Навигационный лист: полный каталог типовых решаторов УМ / Управленческой математики и статус текущего файла.</x:v>
      </x:c>
      <x:c r="E2" s="55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60" t="str">
        <x:v>№</x:v>
      </x:c>
      <x:c r="B4" s="60" t="str">
        <x:v>Группа задач</x:v>
      </x:c>
      <x:c r="C4" s="60" t="str">
        <x:v>Название решатора</x:v>
      </x:c>
      <x:c r="D4" s="60" t="str">
        <x:v>Что показывает</x:v>
      </x:c>
      <x:c r="E4" s="60" t="str">
        <x:v>Статус</x:v>
      </x:c>
    </x:row>
    <x:row r="5" ht="15" hidden="0" customHeight="1">
      <x:c r="A5" s="61" t="n">
        <x:v>1</x:v>
      </x:c>
      <x:c r="B5" s="61" t="str">
        <x:v>Коммерческие условия</x:v>
      </x:c>
      <x:c r="C5" s="61" t="str">
        <x:v>Скидка и отсрочка клиента</x:v>
      </x:c>
      <x:c r="D5" s="61" t="str">
        <x:v>Какой рост закупки нужен, чтобы скидка и отсрочка не ухудшили результат.</x:v>
      </x:c>
      <x:c r="E5" s="61" t="str">
        <x:v>Создан</x:v>
      </x:c>
    </x:row>
    <x:row r="6" ht="15" hidden="0" customHeight="1">
      <x:c r="A6" s="64" t="n">
        <x:v>2</x:v>
      </x:c>
      <x:c r="B6" s="64" t="str">
        <x:v>Коммерческие условия</x:v>
      </x:c>
      <x:c r="C6" s="64" t="str">
        <x:v>Минимальный объем для спецусловий</x:v>
      </x:c>
      <x:c r="D6" s="64" t="str">
        <x:v>При каком объеме можно дать цену, бонус, отсрочку или индивидуальные условия.</x:v>
      </x:c>
      <x:c r="E6" s="64" t="str">
        <x:v>Текущий файл</x:v>
      </x:c>
    </x:row>
    <x:row r="7" ht="15" hidden="0" customHeight="1">
      <x:c r="A7" s="61" t="n">
        <x:v>3</x:v>
      </x:c>
      <x:c r="B7" s="61" t="str">
        <x:v>Коммерческие условия</x:v>
      </x:c>
      <x:c r="C7" s="61" t="str">
        <x:v>Цена сделки после всех условий</x:v>
      </x:c>
      <x:c r="D7" s="61" t="str">
        <x:v>Реальную прибыльность клиента после скидок, бонусов, логистики и отсрочки.</x:v>
      </x:c>
      <x:c r="E7" s="61" t="str">
        <x:v>Создан</x:v>
      </x:c>
    </x:row>
    <x:row r="8" ht="15" hidden="0" customHeight="1">
      <x:c r="A8" s="61" t="n">
        <x:v>4</x:v>
      </x:c>
      <x:c r="B8" s="61" t="str">
        <x:v>Маркетинг и каналы</x:v>
      </x:c>
      <x:c r="C8" s="61" t="str">
        <x:v>Рекламный бюджет и ROMI / возврат маркетинговых инвестиций</x:v>
      </x:c>
      <x:c r="D8" s="61" t="str">
        <x:v>Какой объем продаж нужен, чтобы рекламный бюджет окупился.</x:v>
      </x:c>
      <x:c r="E8" s="61" t="str">
        <x:v>Создан</x:v>
      </x:c>
    </x:row>
    <x:row r="9" ht="15" hidden="0" customHeight="1">
      <x:c r="A9" s="61" t="n">
        <x:v>5</x:v>
      </x:c>
      <x:c r="B9" s="61" t="str">
        <x:v>Маркетинг и каналы</x:v>
      </x:c>
      <x:c r="C9" s="61" t="str">
        <x:v>Промо-акция без потери прибыли</x:v>
      </x:c>
      <x:c r="D9" s="61" t="str">
        <x:v>Какой рост продаж должен компенсировать скидку, промо и дополнительные расходы.</x:v>
      </x:c>
      <x:c r="E9" s="61" t="str">
        <x:v>Создан</x:v>
      </x:c>
    </x:row>
    <x:row r="10" ht="15" hidden="0" customHeight="1">
      <x:c r="A10" s="61" t="n">
        <x:v>6</x:v>
      </x:c>
      <x:c r="B10" s="61" t="str">
        <x:v>Маркетинг и каналы</x:v>
      </x:c>
      <x:c r="C10" s="61" t="str">
        <x:v>Канал продаж: выгодно или нет</x:v>
      </x:c>
      <x:c r="D10" s="61" t="str">
        <x:v>Чистый результат канала после комиссии, логистики, возвратов и налогового контура.</x:v>
      </x:c>
      <x:c r="E10" s="61" t="str">
        <x:v>Создан</x:v>
      </x:c>
    </x:row>
    <x:row r="11" ht="15" hidden="0" customHeight="1">
      <x:c r="A11" s="61" t="n">
        <x:v>7</x:v>
      </x:c>
      <x:c r="B11" s="61" t="str">
        <x:v>Маркетплейсы</x:v>
      </x:c>
      <x:c r="C11" s="61" t="str">
        <x:v>Маркетплейс: цена, комиссия, логистика</x:v>
      </x:c>
      <x:c r="D11" s="61" t="str">
        <x:v>Реальную маржу SKU / товарной позиции на маркетплейсе.</x:v>
      </x:c>
      <x:c r="E11" s="61" t="str">
        <x:v>Создан</x:v>
      </x:c>
    </x:row>
    <x:row r="12" ht="15" hidden="0" customHeight="1">
      <x:c r="A12" s="61" t="n">
        <x:v>8</x:v>
      </x:c>
      <x:c r="B12" s="61" t="str">
        <x:v>Маркетплейсы</x:v>
      </x:c>
      <x:c r="C12" s="61" t="str">
        <x:v>Участие в акции маркетплейса</x:v>
      </x:c>
      <x:c r="D12" s="61" t="str">
        <x:v>Можно ли входить в акцию и какой рост продаж нужен для сохранения результата.</x:v>
      </x:c>
      <x:c r="E12" s="61" t="str">
        <x:v>Создан</x:v>
      </x:c>
    </x:row>
    <x:row r="13" ht="15" hidden="0" customHeight="1">
      <x:c r="A13" s="61" t="n">
        <x:v>9</x:v>
      </x:c>
      <x:c r="B13" s="61" t="str">
        <x:v>Ассортимент и продукт</x:v>
      </x:c>
      <x:c r="C13" s="61" t="str">
        <x:v>SKU: оставить, поднять цену или убрать</x:v>
      </x:c>
      <x:c r="D13" s="61" t="str">
        <x:v>Какие товарные позиции создают результат, а какие съедают деньги.</x:v>
      </x:c>
      <x:c r="E13" s="61" t="str">
        <x:v>Создан</x:v>
      </x:c>
    </x:row>
    <x:row r="14" ht="15" hidden="0" customHeight="1">
      <x:c r="A14" s="61" t="n">
        <x:v>10</x:v>
      </x:c>
      <x:c r="B14" s="61" t="str">
        <x:v>Ассортимент и продукт</x:v>
      </x:c>
      <x:c r="C14" s="61" t="str">
        <x:v>Новый продукт: точка допустимого запуска</x:v>
      </x:c>
      <x:c r="D14" s="61" t="str">
        <x:v>Минимальный объем, цена и маржа для запуска продукта.</x:v>
      </x:c>
      <x:c r="E14" s="61" t="str">
        <x:v>Создан</x:v>
      </x:c>
    </x:row>
    <x:row r="15" ht="15" hidden="0" customHeight="1">
      <x:c r="A15" s="61" t="n">
        <x:v>11</x:v>
      </x:c>
      <x:c r="B15" s="61" t="str">
        <x:v>Операции и логистика</x:v>
      </x:c>
      <x:c r="C15" s="61" t="str">
        <x:v>Запас и оборачиваемость</x:v>
      </x:c>
      <x:c r="D15" s="61" t="str">
        <x:v>Сколько денег замораживает запас и где начинается лишняя складская нагрузка.</x:v>
      </x:c>
      <x:c r="E15" s="61" t="str">
        <x:v>Создан</x:v>
      </x:c>
    </x:row>
    <x:row r="16" ht="15" hidden="0" customHeight="1">
      <x:c r="A16" s="61" t="n">
        <x:v>12</x:v>
      </x:c>
      <x:c r="B16" s="61" t="str">
        <x:v>Операции и логистика</x:v>
      </x:c>
      <x:c r="C16" s="61" t="str">
        <x:v>Производственная партия</x:v>
      </x:c>
      <x:c r="D16" s="61" t="str">
        <x:v>При каком объеме партия покрывает себестоимость, брак, логистику и операционные ограничения.</x:v>
      </x:c>
      <x:c r="E16" s="61" t="str">
        <x:v>Создан</x:v>
      </x:c>
    </x:row>
    <x:row r="17" ht="15" hidden="0" customHeight="1">
      <x:c r="A17" s="61" t="n">
        <x:v>13</x:v>
      </x:c>
      <x:c r="B17" s="61" t="str">
        <x:v>Операции и логистика</x:v>
      </x:c>
      <x:c r="C17" s="61" t="str">
        <x:v>SLA / уровень сервиса и цена выполнения</x:v>
      </x:c>
      <x:c r="D17" s="61" t="str">
        <x:v>Сколько стоит повышенный уровень сервиса и можно ли его обещать клиенту.</x:v>
      </x:c>
      <x:c r="E17" s="61" t="str">
        <x:v>Создан</x:v>
      </x:c>
    </x:row>
    <x:row r="18" ht="15" hidden="0" customHeight="1">
      <x:c r="A18" s="61" t="n">
        <x:v>14</x:v>
      </x:c>
      <x:c r="B18" s="61" t="str">
        <x:v>Финансы и деньги</x:v>
      </x:c>
      <x:c r="C18" s="61" t="str">
        <x:v>Денежный разрыв по решению</x:v>
      </x:c>
      <x:c r="D18" s="61" t="str">
        <x:v>Сколько денег нужно до поступления оплаты и выдерживает ли компания кассовый контур.</x:v>
      </x:c>
      <x:c r="E18" s="61" t="str">
        <x:v>Создан</x:v>
      </x:c>
    </x:row>
    <x:row r="19" ht="15" hidden="0" customHeight="1">
      <x:c r="A19" s="61" t="n">
        <x:v>15</x:v>
      </x:c>
      <x:c r="B19" s="61" t="str">
        <x:v>Финансы и деньги</x:v>
      </x:c>
      <x:c r="C19" s="61" t="str">
        <x:v>НДС и налоговый контур при ОСНО</x:v>
      </x:c>
      <x:c r="D19" s="61" t="str">
        <x:v>Как налоговый режим влияет на чистый результат и денежный поток.</x:v>
      </x:c>
      <x:c r="E19" s="61" t="str">
        <x:v>Создан</x:v>
      </x:c>
    </x:row>
    <x:row r="20" ht="15" hidden="0" customHeight="1">
      <x:c r="A20" s="61" t="n">
        <x:v>16</x:v>
      </x:c>
      <x:c r="B20" s="61" t="str">
        <x:v>Финансы и деньги</x:v>
      </x:c>
      <x:c r="C20" s="61" t="str">
        <x:v>ROI / возврат инвестиций и срок окупаемости</x:v>
      </x:c>
      <x:c r="D20" s="61" t="str">
        <x:v>Окупается ли вложение и при каких сценариях оно становится недопустимым.</x:v>
      </x:c>
      <x:c r="E20" s="61" t="str">
        <x:v>Создан</x:v>
      </x:c>
    </x:row>
    <x:row r="21" ht="15" hidden="0" customHeight="1">
      <x:c r="A21" s="61" t="n">
        <x:v>17</x:v>
      </x:c>
      <x:c r="B21" s="61" t="str">
        <x:v>Специальные решения</x:v>
      </x:c>
      <x:c r="C21" s="61" t="str">
        <x:v>TCO / совокупная стоимость владения проекта</x:v>
      </x:c>
      <x:c r="D21" s="61" t="str">
        <x:v>Полную стоимость решения: покупка, внедрение, поддержка, люди, риски.</x:v>
      </x:c>
      <x:c r="E21" s="61" t="str">
        <x:v>Создан</x:v>
      </x:c>
    </x:row>
    <x:row r="22" ht="15" hidden="0" customHeight="1">
      <x:c r="A22" s="61" t="n">
        <x:v>18</x:v>
      </x:c>
      <x:c r="B22" s="61" t="str">
        <x:v>Специальные решения</x:v>
      </x:c>
      <x:c r="C22" s="61" t="str">
        <x:v>Найм / подрядчик / автоматизация</x:v>
      </x:c>
      <x:c r="D22" s="61" t="str">
        <x:v>Что выгоднее: человек, подрядчик, автоматизация или отказ от инициативы.</x:v>
      </x:c>
      <x:c r="E22" s="61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14" hidden="0" customWidth="1"/>
    <x:col min="5" max="5" width="58" hidden="0" customWidth="1"/>
    <x:col min="6" max="6" width="16" hidden="0" customWidth="1"/>
  </x:cols>
  <x:sheetData>
    <x:row r="1" ht="18" hidden="0" customHeight="1">
      <x:c r="A1" s="4" t="str">
        <x:v>УМ решатор: минимальный объем для спецусловий</x:v>
      </x:c>
      <x:c r="B1" s="4" t="str">
        <x:v>УМ решатор: минимальный объем для спецусловий</x:v>
      </x:c>
      <x:c r="C1" s="4" t="str">
        <x:v>УМ решатор: минимальный объем для спецусловий</x:v>
      </x:c>
      <x:c r="D1" s="4" t="str">
        <x:v>УМ решатор: минимальный объем для спецусловий</x:v>
      </x:c>
      <x:c r="E1" s="4" t="str">
        <x:v>УМ решатор: минимальный объем для спецусловий</x:v>
      </x:c>
      <x:c r="F1" s="4" t="str">
        <x:v>УМ решатор: минимальный объем для спецусловий</x:v>
      </x:c>
    </x:row>
    <x:row r="2" ht="15" hidden="0" customHeight="1">
      <x:c r="A2" s="6" t="str">
        <x:v>Показывает, при каком объеме можно дать цену, бонус, отсрочку или индивидуальные условия без ухудшения результата.</x:v>
      </x:c>
      <x:c r="B2" s="6" t="str">
        <x:v>Показывает, при каком объеме можно дать цену, бонус, отсрочку или индивидуальные условия без ухудшения результата.</x:v>
      </x:c>
      <x:c r="C2" s="6" t="str">
        <x:v>Показывает, при каком объеме можно дать цену, бонус, отсрочку или индивидуальные условия без ухудшения результата.</x:v>
      </x:c>
      <x:c r="D2" s="6" t="str">
        <x:v>Показывает, при каком объеме можно дать цену, бонус, отсрочку или индивидуальные условия без ухудшения результата.</x:v>
      </x:c>
      <x:c r="E2" s="6" t="str">
        <x:v>Показывает, при каком объеме можно дать цену, бонус, отсрочку или индивидуальные условия без ухудшения результата.</x:v>
      </x:c>
      <x:c r="F2" s="6" t="str">
        <x:v>Показывает, при каком объеме можно дать цену, бонус, отсрочку или индивидуальные условия без ухудшения результата.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Цена</x:v>
      </x:c>
      <x:c r="B5" s="13" t="str">
        <x:v>Цена без НДС до спецусловий</x:v>
      </x:c>
      <x:c r="C5" s="19" t="n">
        <x:v>5000</x:v>
      </x:c>
      <x:c r="D5" s="13" t="str">
        <x:v>руб.</x:v>
      </x:c>
      <x:c r="E5" s="13" t="str">
        <x:v>Текущая цена продажи.</x:v>
      </x:c>
      <x:c r="F5" s="13" t="str">
        <x:v>Ввод</x:v>
      </x:c>
    </x:row>
    <x:row r="6" ht="15" hidden="0" customHeight="1">
      <x:c r="A6" s="13" t="str">
        <x:v>Себестоимость</x:v>
      </x:c>
      <x:c r="B6" s="13" t="str">
        <x:v>Себестоимость единицы</x:v>
      </x:c>
      <x:c r="C6" s="19" t="n">
        <x:v>3200</x:v>
      </x:c>
      <x:c r="D6" s="13" t="str">
        <x:v>руб.</x:v>
      </x:c>
      <x:c r="E6" s="13" t="str">
        <x:v>Переменная себестоимость.</x:v>
      </x:c>
      <x:c r="F6" s="13" t="str">
        <x:v>Ввод</x:v>
      </x:c>
    </x:row>
    <x:row r="7" ht="15" hidden="0" customHeight="1">
      <x:c r="A7" s="13" t="str">
        <x:v>Условие</x:v>
      </x:c>
      <x:c r="B7" s="13" t="str">
        <x:v>Дополнительная скидка</x:v>
      </x:c>
      <x:c r="C7" s="20" t="n">
        <x:v>0.12</x:v>
      </x:c>
      <x:c r="D7" s="13" t="str">
        <x:v>%</x:v>
      </x:c>
      <x:c r="E7" s="13" t="str">
        <x:v>Индивидуальная скидка клиенту.</x:v>
      </x:c>
      <x:c r="F7" s="13" t="str">
        <x:v>Ввод</x:v>
      </x:c>
    </x:row>
    <x:row r="8" ht="15" hidden="0" customHeight="1">
      <x:c r="A8" s="13" t="str">
        <x:v>Условие</x:v>
      </x:c>
      <x:c r="B8" s="13" t="str">
        <x:v>Бонус / ретро на единицу</x:v>
      </x:c>
      <x:c r="C8" s="19" t="n">
        <x:v>200</x:v>
      </x:c>
      <x:c r="D8" s="13" t="str">
        <x:v>руб.</x:v>
      </x:c>
      <x:c r="E8" s="13" t="str">
        <x:v>Дополнительный бонус или ретро.</x:v>
      </x:c>
      <x:c r="F8" s="13" t="str">
        <x:v>Ввод</x:v>
      </x:c>
    </x:row>
    <x:row r="9" ht="15" hidden="0" customHeight="1">
      <x:c r="A9" s="13" t="str">
        <x:v>Условие</x:v>
      </x:c>
      <x:c r="B9" s="13" t="str">
        <x:v>Дополнительная логистика на единицу</x:v>
      </x:c>
      <x:c r="C9" s="19" t="n">
        <x:v>150</x:v>
      </x:c>
      <x:c r="D9" s="13" t="str">
        <x:v>руб.</x:v>
      </x:c>
      <x:c r="E9" s="13" t="str">
        <x:v>Доставка, сборка, сервис.</x:v>
      </x:c>
      <x:c r="F9" s="13" t="str">
        <x:v>Ввод</x:v>
      </x:c>
    </x:row>
    <x:row r="10" ht="15" hidden="0" customHeight="1">
      <x:c r="A10" s="13" t="str">
        <x:v>Расходы</x:v>
      </x:c>
      <x:c r="B10" s="13" t="str">
        <x:v>Фиксированные расходы сделки</x:v>
      </x:c>
      <x:c r="C10" s="19" t="n">
        <x:v>300000</x:v>
      </x:c>
      <x:c r="D10" s="13" t="str">
        <x:v>руб.</x:v>
      </x:c>
      <x:c r="E10" s="13" t="str">
        <x:v>Администрирование, поддержка, запуск.</x:v>
      </x:c>
      <x:c r="F10" s="13" t="str">
        <x:v>Ввод</x:v>
      </x:c>
    </x:row>
    <x:row r="11" ht="15" hidden="0" customHeight="1">
      <x:c r="A11" s="13" t="str">
        <x:v>Порог</x:v>
      </x:c>
      <x:c r="B11" s="13" t="str">
        <x:v>Целевой результат сделки</x:v>
      </x:c>
      <x:c r="C11" s="19" t="n">
        <x:v>1000000</x:v>
      </x:c>
      <x:c r="D11" s="13" t="str">
        <x:v>руб.</x:v>
      </x:c>
      <x:c r="E11" s="13" t="str">
        <x:v>Минимальный результат, ради которого стоит давать условия.</x:v>
      </x:c>
      <x:c r="F11" s="13" t="str">
        <x:v>Ввод</x:v>
      </x:c>
    </x:row>
    <x:row r="12" ht="15" hidden="0" customHeight="1">
      <x:c r="A12" s="13" t="str">
        <x:v>Прогноз</x:v>
      </x:c>
      <x:c r="B12" s="13" t="str">
        <x:v>Плановый объем клиента</x:v>
      </x:c>
      <x:c r="C12" s="19" t="n">
        <x:v>1000</x:v>
      </x:c>
      <x:c r="D12" s="13" t="str">
        <x:v>шт.</x:v>
      </x:c>
      <x:c r="E12" s="13" t="str">
        <x:v>Объем, который обещает клиент.</x:v>
      </x:c>
      <x:c r="F12" s="13" t="str">
        <x:v>Ввод</x:v>
      </x:c>
    </x:row>
    <x:row r="13" ht="15" hidden="0" customHeight="1">
      <x:c r="A13" s="13" t="str">
        <x:v>Факт</x:v>
      </x:c>
      <x:c r="B13" s="13" t="str">
        <x:v>Налоговый режим</x:v>
      </x:c>
      <x:c r="C13" s="18" t="str">
        <x:v>ОСНО</x:v>
      </x:c>
      <x:c r="D13" s="13" t="str">
        <x:v>режим</x:v>
      </x:c>
      <x:c r="E13" s="13" t="str">
        <x:v>При ОСНО выручка берется без НДС.</x:v>
      </x:c>
      <x:c r="F13" s="13" t="str">
        <x:v>Ввод</x:v>
      </x:c>
    </x:row>
    <x:row r="14" ht="15" hidden="0" customHeight="1">
      <x:c r="A14" s="13" t="str">
        <x:v>Допущение</x:v>
      </x:c>
      <x:c r="B14" s="13" t="str">
        <x:v>Ставка НДС</x:v>
      </x:c>
      <x:c r="C14" s="20" t="n">
        <x:v>0.22</x:v>
      </x:c>
      <x:c r="D14" s="13" t="str">
        <x:v>%</x:v>
      </x:c>
      <x:c r="E14" s="13" t="str">
        <x:v>НДС не включается в выручку без НДС.</x:v>
      </x:c>
      <x:c r="F14" s="13" t="str">
        <x:v>Ввод</x:v>
      </x:c>
    </x:row>
    <x:row r="15" ht="15" hidden="0" customHeight="1">
      <x:c r="A15" s="13" t="str">
        <x:v>Качество данных</x:v>
      </x:c>
      <x:c r="B15" s="13" t="str">
        <x:v>Объем закреплен договором</x:v>
      </x:c>
      <x:c r="C15" s="18" t="str">
        <x:v>Да</x:v>
      </x:c>
      <x:c r="D15" s="13" t="str">
        <x:v>Да/Нет</x:v>
      </x:c>
      <x:c r="E15" s="13" t="str">
        <x:v>Есть ли обязательство по объему.</x:v>
      </x:c>
      <x:c r="F15" s="13" t="str">
        <x:v>Ввод</x:v>
      </x:c>
    </x:row>
    <x:row r="16" ht="15" hidden="0" customHeight="1">
      <x:c r="A16" s="13" t="str">
        <x:v>Контроль</x:v>
      </x:c>
      <x:c r="B16" s="13" t="str">
        <x:v>Дата первого контроля</x:v>
      </x:c>
      <x:c r="C16" s="21" t="n">
        <x:v>46235</x:v>
      </x:c>
      <x:c r="D16" s="13" t="str">
        <x:v>дата</x:v>
      </x:c>
      <x:c r="E16" s="13" t="str">
        <x:v>Дата проверки объема и результата.</x:v>
      </x:c>
      <x:c r="F16" s="13" t="str">
        <x:v>Ввод</x:v>
      </x:c>
    </x:row>
    <x:row r="17" ht="15" hidden="0" customHeight="1">
      <x:c r="A17" s="13" t="str">
        <x:v>Ответственный</x:v>
      </x:c>
      <x:c r="B17" s="13" t="str">
        <x:v>Коммерческий директор</x:v>
      </x:c>
      <x:c r="C17" s="18" t="str">
        <x:v>Коммерческий директор</x:v>
      </x:c>
      <x:c r="D17" s="13" t="str">
        <x:v>роль</x:v>
      </x:c>
      <x:c r="E17" s="13" t="str">
        <x:v>Отвечает за условия клиента.</x:v>
      </x:c>
      <x:c r="F17" s="13" t="str">
        <x:v>Ввод</x:v>
      </x:c>
    </x:row>
  </x:sheetData>
  <x:mergeCells>
    <x:mergeCell ref="A1:F1"/>
    <x:mergeCell ref="A2:F2"/>
  </x:mergeCells>
  <x:dataValidations count="1">
    <x:dataValidation type="list" sqref="C15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Цена</x:v>
      </x:c>
      <x:c r="B5" s="13" t="str">
        <x:v>Цена после скидки</x:v>
      </x:c>
      <x:c r="C5" s="23" t="n">
        <x:f>'01 Ввод'!C5*(1-'01 Ввод'!C7)</x:f>
        <x:v>4400</x:v>
      </x:c>
      <x:c r="D5" s="13" t="str">
        <x:v>руб.</x:v>
      </x:c>
      <x:c r="E5" s="13" t="str">
        <x:v>Цена после скидки.</x:v>
      </x:c>
    </x:row>
    <x:row r="6" ht="15" hidden="0" customHeight="1">
      <x:c r="A6" s="13" t="str">
        <x:v>Маржа</x:v>
      </x:c>
      <x:c r="B6" s="13" t="str">
        <x:v>Вклад на единицу после условий</x:v>
      </x:c>
      <x:c r="C6" s="23" t="n">
        <x:f>C5-'01 Ввод'!C6-'01 Ввод'!C8-'01 Ввод'!C9</x:f>
        <x:v>850</x:v>
      </x:c>
      <x:c r="D6" s="13" t="str">
        <x:v>руб.</x:v>
      </x:c>
      <x:c r="E6" s="13" t="str">
        <x:v>Цена после скидки минус переменные расходы.</x:v>
      </x:c>
    </x:row>
    <x:row r="7" ht="15" hidden="0" customHeight="1">
      <x:c r="A7" s="13" t="str">
        <x:v>Порог</x:v>
      </x:c>
      <x:c r="B7" s="13" t="str">
        <x:v>Объем безубыточности</x:v>
      </x:c>
      <x:c r="C7" s="23" t="n">
        <x:f>IF(C6&lt;=0,999999,'01 Ввод'!C10/C6)</x:f>
        <x:v>352.94117647058823</x:v>
      </x:c>
      <x:c r="D7" s="13" t="str">
        <x:v>шт.</x:v>
      </x:c>
      <x:c r="E7" s="13" t="str">
        <x:v>Фиксированные расходы / вклад на единицу.</x:v>
      </x:c>
    </x:row>
    <x:row r="8" ht="15" hidden="0" customHeight="1">
      <x:c r="A8" s="13" t="str">
        <x:v>Порог</x:v>
      </x:c>
      <x:c r="B8" s="13" t="str">
        <x:v>Объем для целевого результата</x:v>
      </x:c>
      <x:c r="C8" s="23" t="n">
        <x:f>IF(C6&lt;=0,999999,('01 Ввод'!C10+'01 Ввод'!C11)/C6)</x:f>
        <x:v>1529.4117647058824</x:v>
      </x:c>
      <x:c r="D8" s="13" t="str">
        <x:v>шт.</x:v>
      </x:c>
      <x:c r="E8" s="13" t="str">
        <x:v>Объем для покрытия расходов и цели.</x:v>
      </x:c>
    </x:row>
    <x:row r="9" ht="15" hidden="0" customHeight="1">
      <x:c r="A9" s="13" t="str">
        <x:v>Прогноз</x:v>
      </x:c>
      <x:c r="B9" s="13" t="str">
        <x:v>Результат при плановом объеме</x:v>
      </x:c>
      <x:c r="C9" s="23" t="n">
        <x:f>'01 Ввод'!C12*C6-'01 Ввод'!C10</x:f>
        <x:v>550000</x:v>
      </x:c>
      <x:c r="D9" s="13" t="str">
        <x:v>руб.</x:v>
      </x:c>
      <x:c r="E9" s="13" t="str">
        <x:v>Плановый объем × вклад - фиксированные расходы.</x:v>
      </x:c>
    </x:row>
    <x:row r="10" ht="15" hidden="0" customHeight="1">
      <x:c r="A10" s="13" t="str">
        <x:v>Дельта</x:v>
      </x:c>
      <x:c r="B10" s="13" t="str">
        <x:v>Запас объема к целевому порогу</x:v>
      </x:c>
      <x:c r="C10" s="23" t="n">
        <x:f>'01 Ввод'!C12-C8</x:f>
        <x:v>-529.4117647058824</x:v>
      </x:c>
      <x:c r="D10" s="13" t="str">
        <x:v>шт.</x:v>
      </x:c>
      <x:c r="E10" s="13" t="str">
        <x:v>Плановый объем - целевой объем.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</x:v>
      </x:c>
      <x:c r="E4" s="11" t="str">
        <x:v>Вывод</x:v>
      </x:c>
    </x:row>
    <x:row r="5" ht="15" hidden="0" customHeight="1">
      <x:c r="A5" s="13" t="str">
        <x:v>Безубыточность</x:v>
      </x:c>
      <x:c r="B5" s="24" t="n">
        <x:f>'02 Расчет'!C7</x:f>
        <x:v>352.94117647058823</x:v>
      </x:c>
      <x:c r="C5" s="25" t="n">
        <x:f>B5*'02 Расчет'!C6-'01 Ввод'!C10</x:f>
        <x:v>0</x:v>
      </x:c>
      <x:c r="D5" s="25" t="n">
        <x:f>C5</x:f>
        <x:v>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Целевой объем</x:v>
      </x:c>
      <x:c r="B6" s="24" t="n">
        <x:f>'02 Расчет'!C8</x:f>
        <x:v>1529.4117647058824</x:v>
      </x:c>
      <x:c r="C6" s="25" t="n">
        <x:f>B6*'02 Расчет'!C6-'01 Ввод'!C10</x:f>
        <x:v>1000000</x:v>
      </x:c>
      <x:c r="D6" s="25" t="n">
        <x:f>C6</x:f>
        <x:v>1000000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План клиента</x:v>
      </x:c>
      <x:c r="B7" s="24" t="n">
        <x:f>'01 Ввод'!C12</x:f>
        <x:v>1000</x:v>
      </x:c>
      <x:c r="C7" s="25" t="n">
        <x:f>'02 Расчет'!C9</x:f>
        <x:v>550000</x:v>
      </x:c>
      <x:c r="D7" s="25" t="n">
        <x:f>C7</x:f>
        <x:v>550000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План -20%</x:v>
      </x:c>
      <x:c r="B8" s="24" t="n">
        <x:f>'01 Ввод'!C12*0.8</x:f>
        <x:v>800</x:v>
      </x:c>
      <x:c r="C8" s="25" t="n">
        <x:f>B8*'02 Расчет'!C6-'01 Ввод'!C10</x:f>
        <x:v>380000</x:v>
      </x:c>
      <x:c r="D8" s="25" t="n">
        <x:f>C8</x:f>
        <x:v>380000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План +20%</x:v>
      </x:c>
      <x:c r="B9" s="24" t="n">
        <x:f>'01 Ввод'!C12*1.2</x:f>
        <x:v>1200</x:v>
      </x:c>
      <x:c r="C9" s="25" t="n">
        <x:f>B9*'02 Расчет'!C6-'01 Ввод'!C10</x:f>
        <x:v>720000</x:v>
      </x:c>
      <x:c r="D9" s="25" t="n">
        <x:f>C9</x:f>
        <x:v>720000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решения.</x:v>
      </x:c>
      <x:c r="B2" s="6" t="str">
        <x:v>Контуры показывают ограничения решения.</x:v>
      </x:c>
      <x:c r="C2" s="6" t="str">
        <x:v>Контуры показывают ограничения решения.</x:v>
      </x:c>
      <x:c r="D2" s="6" t="str">
        <x:v>Контуры показывают ограничения решения.</x:v>
      </x:c>
      <x:c r="E2" s="6" t="str">
        <x:v>Контуры показывают ограничения решения.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Прибыль</x:v>
      </x:c>
      <x:c r="B5" s="13" t="str">
        <x:v>План проходит целевой результат</x:v>
      </x:c>
      <x:c r="C5" s="13" t="str">
        <x:f>IF('02 Расчет'!C9&gt;='01 Ввод'!C11,"ОК","Провал")</x:f>
        <x:v>Провал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Договор</x:v>
      </x:c>
      <x:c r="B6" s="13" t="str">
        <x:v>Объем закреплен</x:v>
      </x:c>
      <x:c r="C6" s="13" t="str">
        <x:f>IF('01 Ввод'!C15="Да","ОК","Провал")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Цена</x:v>
      </x:c>
      <x:c r="B7" s="13" t="str">
        <x:v>Вклад на единицу положительный</x:v>
      </x:c>
      <x:c r="C7" s="13" t="str">
        <x:f>IF('02 Расчет'!C6&gt;0,"ОК","Провал")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Целевой объем</x:v>
      </x:c>
      <x:c r="B5" s="48" t="n">
        <x:f>'02 Расчет'!C8</x:f>
        <x:v>1529.4117647058824</x:v>
      </x:c>
      <x:c r="C5" s="13" t="str">
        <x:v>Проверочный показатель.</x:v>
      </x:c>
    </x:row>
    <x:row r="6" ht="15" hidden="0" customHeight="1">
      <x:c r="A6" s="13" t="str">
        <x:v>Плановый объем</x:v>
      </x:c>
      <x:c r="B6" s="48" t="n">
        <x:f>'01 Ввод'!C12</x:f>
        <x:v>1000</x:v>
      </x:c>
      <x:c r="C6" s="13" t="str">
        <x:v>Проверочный показатель.</x:v>
      </x:c>
    </x:row>
    <x:row r="7" ht="15" hidden="0" customHeight="1">
      <x:c r="A7" s="13" t="str">
        <x:v>Результат при плане</x:v>
      </x:c>
      <x:c r="B7" s="48" t="n">
        <x:f>'02 Расчет'!C9</x:f>
        <x:v>550000</x:v>
      </x:c>
      <x:c r="C7" s="13" t="str">
        <x:v>Проверочный показатель.</x:v>
      </x:c>
    </x:row>
    <x:row r="8" ht="15" hidden="0" customHeight="1">
      <x:c r="A8" s="13" t="str">
        <x:v>Объем закреплен</x:v>
      </x:c>
      <x:c r="B8" s="48" t="str">
        <x:f>'01 Ввод'!C15</x:f>
        <x:v>Да</x:v>
      </x:c>
      <x:c r="C8" s="13" t="str">
        <x:v>Проверочный показатель.</x:v>
      </x:c>
    </x:row>
    <x:row r="9" ht="15" hidden="0" customHeight="1">
      <x:c r="A9" s="27" t="str">
        <x:v>Статус решения</x:v>
      </x:c>
      <x:c r="B9" s="27" t="str">
        <x:f>IF(AND(B6&gt;=B5,B8="Да"),"Можно",IF(AND(B6&gt;='02 Расчет'!C7,B8="Да"),"Можно при условиях","Нельзя в текущей модели"))</x:f>
        <x:v>Можно при условиях</x:v>
      </x:c>
      <x:c r="C9" s="27" t="str">
        <x:v>Итоговый вердикт УМ.</x:v>
      </x:c>
    </x:row>
    <x:row r="10" ht="15" hidden="0" customHeight="1">
      <x:c r="A10" s="13"/>
      <x:c r="B10" s="13"/>
      <x:c r="C10" s="13"/>
    </x:row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7" t="str">
        <x:v>Можно при условиях</x:v>
      </x:c>
      <x:c r="B14" s="27" t="str">
        <x:v>желтый: запуск только при числовых условиях</x:v>
      </x:c>
    </x:row>
    <x:row r="15" ht="26.399999618530273" hidden="0" customHeight="1">
      <x:c r="A15" s="30" t="str">
        <x:v>Нельзя в текущей модели</x:v>
      </x:c>
      <x:c r="B15" s="30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"Спецусловия можно давать только при объеме не ниже "&amp;TEXT('02 Расчет'!C8,"#,##0")&amp;" шт."</x:f>
        <x:v>Спецусловия можно давать только при объеме не ниже 1,529 шт.</x:v>
      </x:c>
    </x:row>
    <x:row r="6" ht="15" hidden="0" customHeight="1">
      <x:c r="A6" s="26" t="str">
        <x:v>Условия</x:v>
      </x:c>
      <x:c r="B6" s="26" t="str">
        <x:f>"Плановый объем: "&amp;TEXT('01 Ввод'!C12,"#,##0")&amp;" шт.; запас к порогу: "&amp;TEXT('02 Расчет'!C10,"#,##0")&amp;" шт.; контроль "&amp;TEXT(DAY('01 Ввод'!C16),"00")&amp;"."&amp;TEXT(MONTH('01 Ввод'!C16),"00")&amp;"."&amp;YEAR('01 Ввод'!C16)&amp;"."</x:f>
        <x:v>Плановый объем: 1,000 шт.; запас к порогу: -529 шт.; контроль 01.08.2026.</x:v>
      </x:c>
    </x:row>
    <x:row r="7" ht="15" hidden="0" customHeight="1">
      <x:c r="A7" s="26" t="str">
        <x:v>Пояснение</x:v>
      </x:c>
      <x:c r="B7" s="32" t="str">
        <x:f>"УМ переводит цену, бонусы и сервис в минимальный объем, который должен быть закреплен договором."</x:f>
        <x:v>УМ переводит цену, бонусы и сервис в минимальный объем, который должен быть закреплен договором.</x:v>
      </x:c>
    </x:row>
    <x:row r="8" ht="15" hidden="0" customHeight="1">
      <x:c r="A8" s="26" t="str">
        <x:v>Если условия не принимаются</x:v>
      </x:c>
      <x:c r="B8" s="26" t="str">
        <x:f>IF('05 Статус'!B10="Нельзя в текущей модели","Не согласовывать спецусловия без увеличения или фиксации объема.","Если клиент не закрепляет объем, условия переводятся в ограниченный запуск или отказ.")</x:f>
        <x:v>Если клиент не закрепляет объем, условия переводятся в ограниченный запуск или отказ.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Объем клиента</x:v>
      </x:c>
      <x:c r="B5" s="13" t="n">
        <x:f>'02 Расчет'!C8</x:f>
        <x:v>1529.4117647058824</x:v>
      </x:c>
      <x:c r="C5" s="18"/>
      <x:c r="D5" s="13" t="str">
        <x:f>IF(C5="","ждет факта",IF(C5&gt;=B5,"ОК","Отклонение"))</x:f>
        <x:v>ждет факта</x:v>
      </x:c>
      <x:c r="E5" s="13" t="str">
        <x:v>Вернуть стандартные условия.</x:v>
      </x:c>
      <x:c r="F5" s="13" t="str">
        <x:v>Коммерческий директор</x:v>
      </x:c>
    </x:row>
    <x:row r="6" ht="15" hidden="0" customHeight="1">
      <x:c r="A6" s="13" t="str">
        <x:v>Результат сделки</x:v>
      </x:c>
      <x:c r="B6" s="13" t="n">
        <x:f>'01 Ввод'!C11</x:f>
        <x:v>1000000</x:v>
      </x:c>
      <x:c r="C6" s="18"/>
      <x:c r="D6" s="13" t="str">
        <x:f>IF(C6="","ждет факта",IF(C6&gt;=B6,"ОК","Отклонение"))</x:f>
        <x:v>ждет факта</x:v>
      </x:c>
      <x:c r="E6" s="13" t="str">
        <x:v>Пересчитать цену или бонус.</x:v>
      </x:c>
      <x:c r="F6" s="13" t="str">
        <x:v>Коммерческий директор</x:v>
      </x:c>
    </x:row>
    <x:row r="7" ht="15" hidden="0" customHeight="1">
      <x:c r="A7" s="13" t="str">
        <x:v>Дата контроля</x:v>
      </x:c>
      <x:c r="B7" s="13" t="n">
        <x:f>'01 Ввод'!C16</x:f>
        <x:v>46235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факт объема.</x:v>
      </x:c>
      <x:c r="F7" s="13" t="str">
        <x:v>Коммерческий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2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моделью.</x:v>
      </x:c>
      <x:c r="B2" s="6" t="str">
        <x:v>Проверка подтверждает, что решатор является расчетной моделью.</x:v>
      </x:c>
      <x:c r="C2" s="6" t="str">
        <x:v>Проверка подтверждает, что решатор является расчетной моделью.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Порог рассчитан</x:v>
      </x:c>
      <x:c r="B7" s="13" t="str">
        <x:f>IF(ISNUMBER('05 Статус'!B5),"PASS","FAIL")</x:f>
        <x:v>PASS</x:v>
      </x:c>
      <x:c r="C7" s="13" t="str">
        <x:v>Ключевой порог числовой.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