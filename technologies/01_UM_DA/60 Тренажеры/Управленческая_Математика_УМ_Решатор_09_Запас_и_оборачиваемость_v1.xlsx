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278ec3ddd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Ввод" sheetId="1" r:id="R902339727e3b4d45"/>
    <x:sheet xmlns:r="http://schemas.openxmlformats.org/officeDocument/2006/relationships" name="02 Расчет" sheetId="2" r:id="Rae724d339fbe433f"/>
    <x:sheet xmlns:r="http://schemas.openxmlformats.org/officeDocument/2006/relationships" name="03 Сценарии" sheetId="3" r:id="R9a03832c0f314d21"/>
    <x:sheet xmlns:r="http://schemas.openxmlformats.org/officeDocument/2006/relationships" name="04 Контуры" sheetId="4" r:id="R4e999280879443c3"/>
    <x:sheet xmlns:r="http://schemas.openxmlformats.org/officeDocument/2006/relationships" name="05 Статус" sheetId="5" r:id="Raf71222c0a41476d"/>
    <x:sheet xmlns:r="http://schemas.openxmlformats.org/officeDocument/2006/relationships" name="06 Ответ" sheetId="6" r:id="R076fc6922f914485"/>
    <x:sheet xmlns:r="http://schemas.openxmlformats.org/officeDocument/2006/relationships" name="07 Контроль" sheetId="7" r:id="Re4d1810db45649d7"/>
    <x:sheet xmlns:r="http://schemas.openxmlformats.org/officeDocument/2006/relationships" name="08 Проверка" sheetId="8" r:id="R1416608175594706"/>
    <x:sheet xmlns:r="http://schemas.openxmlformats.org/officeDocument/2006/relationships" name="00 Каталог" sheetId="9" r:id="R67d7e6bae57d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yyyy-mm-dd"/>
    <x:numFmt numFmtId="203" formatCode="#,##0.0"/>
    <x:numFmt numFmtId="204" formatCode="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1F6B4E"/>
      <x:name val="Carlito"/>
    </x:font>
    <x:font>
      <x:sz val="11"/>
      <x:color rgb="FF8A2D2D"/>
      <x:name val="Carlito"/>
    </x:font>
    <x:font>
      <x:b/>
      <x:sz val="11"/>
      <x:color rgb="FF1F6B4E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DDEFEA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3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3" fontId="5" fillId="5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204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204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204" fontId="8" fillId="13" borderId="1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wrapText="1"/>
    </x:xf>
    <x:xf numFmtId="204" fontId="10" fillId="13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2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8" fillId="18" borderId="1" xfId="0" applyNumberFormat="1" applyFont="1" applyFill="1" applyBorder="1" applyAlignment="1">
      <x:alignment wrapText="1"/>
    </x:xf>
    <x:xf numFmtId="0" fontId="10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2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8" fillId="23" borderId="1" xfId="0" applyNumberFormat="1" applyFont="1" applyFill="1" applyBorder="1" applyAlignment="1">
      <x:alignment wrapText="1"/>
    </x:xf>
    <x:xf numFmtId="0" fontId="10" fillId="23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c45eaed9b499c" /><Relationship Type="http://schemas.openxmlformats.org/officeDocument/2006/relationships/theme" Target="/xl/theme/theme1.xml" Id="R85949bb639c9447f" /><Relationship Type="http://schemas.openxmlformats.org/officeDocument/2006/relationships/sharedStrings" Target="/xl/sharedStrings.xml" Id="R42996411838b4590" /><Relationship Type="http://schemas.openxmlformats.org/officeDocument/2006/relationships/worksheet" Target="/xl/worksheets/sheet1.xml" Id="R902339727e3b4d45" /><Relationship Type="http://schemas.openxmlformats.org/officeDocument/2006/relationships/worksheet" Target="/xl/worksheets/sheet2.xml" Id="Rae724d339fbe433f" /><Relationship Type="http://schemas.openxmlformats.org/officeDocument/2006/relationships/worksheet" Target="/xl/worksheets/sheet3.xml" Id="R9a03832c0f314d21" /><Relationship Type="http://schemas.openxmlformats.org/officeDocument/2006/relationships/worksheet" Target="/xl/worksheets/sheet4.xml" Id="R4e999280879443c3" /><Relationship Type="http://schemas.openxmlformats.org/officeDocument/2006/relationships/worksheet" Target="/xl/worksheets/sheet5.xml" Id="Raf71222c0a41476d" /><Relationship Type="http://schemas.openxmlformats.org/officeDocument/2006/relationships/worksheet" Target="/xl/worksheets/sheet6.xml" Id="R076fc6922f914485" /><Relationship Type="http://schemas.openxmlformats.org/officeDocument/2006/relationships/worksheet" Target="/xl/worksheets/sheet7.xml" Id="Re4d1810db45649d7" /><Relationship Type="http://schemas.openxmlformats.org/officeDocument/2006/relationships/worksheet" Target="/xl/worksheets/sheet8.xml" Id="R1416608175594706" /><Relationship Type="http://schemas.openxmlformats.org/officeDocument/2006/relationships/worksheet" Target="/xl/worksheets/sheet9.xml" Id="R67d7e6bae57d4d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a99a89d2a144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Дни запаса по сценариям закупки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Результат</c:v>
          </c:tx>
          <c:dLbls/>
          <c:cat>
            <c:strRef>
              <c:f>'03 Сценарии'!$A$14:$A$18</c:f>
              <c:strCache>
                <c:ptCount val="0"/>
              </c:strCache>
            </c:strRef>
          </c:cat>
          <c:val>
            <c:numRef>
              <c:f>'03 Сценарии'!$B$14:$B$18</c:f>
              <c:numCache>
                <c:formatCode>#,##0.0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99a89d2a144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775ebd72139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4" hidden="0" customWidth="1"/>
    <x:col min="5" max="5" width="54" hidden="0" customWidth="1"/>
    <x:col min="6" max="6" width="16" hidden="0" customWidth="1"/>
  </x:cols>
  <x:sheetData>
    <x:row r="1" ht="18" hidden="0" customHeight="1">
      <x:c r="A1" s="5" t="str">
        <x:v>УМ решатор: запас и оборачиваемость</x:v>
      </x:c>
      <x:c r="B1" s="5" t="str">
        <x:v>УМ решатор: запас и оборачиваемость</x:v>
      </x:c>
      <x:c r="C1" s="5" t="str">
        <x:v>УМ решатор: запас и оборачиваемость</x:v>
      </x:c>
      <x:c r="D1" s="5" t="str">
        <x:v>УМ решатор: запас и оборачиваемость</x:v>
      </x:c>
      <x:c r="E1" s="5" t="str">
        <x:v>УМ решатор: запас и оборачиваемость</x:v>
      </x:c>
      <x:c r="F1" s="5" t="str">
        <x:v>УМ решатор: запас и оборачиваемость</x:v>
      </x:c>
    </x:row>
    <x:row r="2" ht="15" hidden="0" customHeight="1">
      <x:c r="A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  <x:c r="B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  <x:c r="C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  <x:c r="D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  <x:c r="E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  <x:c r="F2" s="8" t="str">
        <x:v>Решатор показывает, сколько денег замораживает запас, проходит ли закупка по оборачиваемости, денежному лимиту и риску дефицита.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Комментарий</x:v>
      </x:c>
      <x:c r="F4" s="13" t="str">
        <x:v>Статус</x:v>
      </x:c>
    </x:row>
    <x:row r="5" ht="15" hidden="0" customHeight="1">
      <x:c r="A5" s="16" t="str">
        <x:v>Спрос</x:v>
      </x:c>
      <x:c r="B5" s="16" t="str">
        <x:v>Месячный спрос</x:v>
      </x:c>
      <x:c r="C5" s="19" t="n">
        <x:v>10000</x:v>
      </x:c>
      <x:c r="D5" s="16" t="str">
        <x:v>шт.</x:v>
      </x:c>
      <x:c r="E5" s="16" t="str">
        <x:v>Средний спрос в месяц.</x:v>
      </x:c>
      <x:c r="F5" s="16" t="str">
        <x:v>Ввод</x:v>
      </x:c>
    </x:row>
    <x:row r="6" ht="15" hidden="0" customHeight="1">
      <x:c r="A6" s="16" t="str">
        <x:v>Себестоимость</x:v>
      </x:c>
      <x:c r="B6" s="16" t="str">
        <x:v>Себестоимость единицы</x:v>
      </x:c>
      <x:c r="C6" s="19" t="n">
        <x:v>800</x:v>
      </x:c>
      <x:c r="D6" s="16" t="str">
        <x:v>руб.</x:v>
      </x:c>
      <x:c r="E6" s="16" t="str">
        <x:v>Закупочная / производственная себестоимость.</x:v>
      </x:c>
      <x:c r="F6" s="16" t="str">
        <x:v>Ввод</x:v>
      </x:c>
    </x:row>
    <x:row r="7" ht="15" hidden="0" customHeight="1">
      <x:c r="A7" s="16" t="str">
        <x:v>Закупка</x:v>
      </x:c>
      <x:c r="B7" s="16" t="str">
        <x:v>Планируемая закупка</x:v>
      </x:c>
      <x:c r="C7" s="19" t="n">
        <x:v>15000</x:v>
      </x:c>
      <x:c r="D7" s="16" t="str">
        <x:v>шт.</x:v>
      </x:c>
      <x:c r="E7" s="16" t="str">
        <x:v>Объем новой закупки.</x:v>
      </x:c>
      <x:c r="F7" s="16" t="str">
        <x:v>Ввод</x:v>
      </x:c>
    </x:row>
    <x:row r="8" ht="15" hidden="0" customHeight="1">
      <x:c r="A8" s="16" t="str">
        <x:v>Факт</x:v>
      </x:c>
      <x:c r="B8" s="16" t="str">
        <x:v>Текущий запас</x:v>
      </x:c>
      <x:c r="C8" s="19" t="n">
        <x:v>12000</x:v>
      </x:c>
      <x:c r="D8" s="16" t="str">
        <x:v>шт.</x:v>
      </x:c>
      <x:c r="E8" s="16" t="str">
        <x:v>Остаток до новой закупки.</x:v>
      </x:c>
      <x:c r="F8" s="16" t="str">
        <x:v>Ввод</x:v>
      </x:c>
    </x:row>
    <x:row r="9" ht="15" hidden="0" customHeight="1">
      <x:c r="A9" s="16" t="str">
        <x:v>Правило</x:v>
      </x:c>
      <x:c r="B9" s="16" t="str">
        <x:v>Страховой запас</x:v>
      </x:c>
      <x:c r="C9" s="19" t="n">
        <x:v>15</x:v>
      </x:c>
      <x:c r="D9" s="16" t="str">
        <x:v>дней</x:v>
      </x:c>
      <x:c r="E9" s="16" t="str">
        <x:v>Буфер для риска спроса и поставки.</x:v>
      </x:c>
      <x:c r="F9" s="16" t="str">
        <x:v>Ввод</x:v>
      </x:c>
    </x:row>
    <x:row r="10" ht="15" hidden="0" customHeight="1">
      <x:c r="A10" s="16" t="str">
        <x:v>Поставка</x:v>
      </x:c>
      <x:c r="B10" s="16" t="str">
        <x:v>Срок поставки</x:v>
      </x:c>
      <x:c r="C10" s="19" t="n">
        <x:v>20</x:v>
      </x:c>
      <x:c r="D10" s="16" t="str">
        <x:v>дней</x:v>
      </x:c>
      <x:c r="E10" s="16" t="str">
        <x:v>Lead time / срок поставки.</x:v>
      </x:c>
      <x:c r="F10" s="16" t="str">
        <x:v>Ввод</x:v>
      </x:c>
    </x:row>
    <x:row r="11" ht="15" hidden="0" customHeight="1">
      <x:c r="A11" s="16" t="str">
        <x:v>Деньги</x:v>
      </x:c>
      <x:c r="B11" s="16" t="str">
        <x:v>Стоимость хранения годовая</x:v>
      </x:c>
      <x:c r="C11" s="20" t="n">
        <x:v>0.18</x:v>
      </x:c>
      <x:c r="D11" s="16" t="str">
        <x:v>%</x:v>
      </x:c>
      <x:c r="E11" s="16" t="str">
        <x:v>Склад, порча, обслуживание.</x:v>
      </x:c>
      <x:c r="F11" s="16" t="str">
        <x:v>Ввод</x:v>
      </x:c>
    </x:row>
    <x:row r="12" ht="15" hidden="0" customHeight="1">
      <x:c r="A12" s="16" t="str">
        <x:v>Деньги</x:v>
      </x:c>
      <x:c r="B12" s="16" t="str">
        <x:v>Стоимость денег годовая</x:v>
      </x:c>
      <x:c r="C12" s="20" t="n">
        <x:v>0.2</x:v>
      </x:c>
      <x:c r="D12" s="16" t="str">
        <x:v>%</x:v>
      </x:c>
      <x:c r="E12" s="16" t="str">
        <x:v>Цена замороженных денег.</x:v>
      </x:c>
      <x:c r="F12" s="16" t="str">
        <x:v>Ввод</x:v>
      </x:c>
    </x:row>
    <x:row r="13" ht="15" hidden="0" customHeight="1">
      <x:c r="A13" s="16" t="str">
        <x:v>Риск</x:v>
      </x:c>
      <x:c r="B13" s="16" t="str">
        <x:v>Штраф дефицита на единицу</x:v>
      </x:c>
      <x:c r="C13" s="19" t="n">
        <x:v>200</x:v>
      </x:c>
      <x:c r="D13" s="16" t="str">
        <x:v>руб.</x:v>
      </x:c>
      <x:c r="E13" s="16" t="str">
        <x:v>Потеря маржи / штраф / недопоставка.</x:v>
      </x:c>
      <x:c r="F13" s="16" t="str">
        <x:v>Ввод</x:v>
      </x:c>
    </x:row>
    <x:row r="14" ht="15" hidden="0" customHeight="1">
      <x:c r="A14" s="16" t="str">
        <x:v>Порог</x:v>
      </x:c>
      <x:c r="B14" s="16" t="str">
        <x:v>Целевые дни запаса</x:v>
      </x:c>
      <x:c r="C14" s="19" t="n">
        <x:v>45</x:v>
      </x:c>
      <x:c r="D14" s="16" t="str">
        <x:v>дней</x:v>
      </x:c>
      <x:c r="E14" s="16" t="str">
        <x:v>Максимально допустимые дни запаса.</x:v>
      </x:c>
      <x:c r="F14" s="16" t="str">
        <x:v>Ввод</x:v>
      </x:c>
    </x:row>
    <x:row r="15" ht="15" hidden="0" customHeight="1">
      <x:c r="A15" s="16" t="str">
        <x:v>Ограничение</x:v>
      </x:c>
      <x:c r="B15" s="16" t="str">
        <x:v>Денежный лимит на запас</x:v>
      </x:c>
      <x:c r="C15" s="19" t="n">
        <x:v>15000000</x:v>
      </x:c>
      <x:c r="D15" s="16" t="str">
        <x:v>руб.</x:v>
      </x:c>
      <x:c r="E15" s="16" t="str">
        <x:v>Максимальный объем денег в запасе.</x:v>
      </x:c>
      <x:c r="F15" s="16" t="str">
        <x:v>Ввод</x:v>
      </x:c>
    </x:row>
    <x:row r="16" ht="15" hidden="0" customHeight="1">
      <x:c r="A16" s="16" t="str">
        <x:v>Качество данных</x:v>
      </x:c>
      <x:c r="B16" s="16" t="str">
        <x:v>Спрос подтвержден</x:v>
      </x:c>
      <x:c r="C16" s="18" t="str">
        <x:v>Да</x:v>
      </x:c>
      <x:c r="D16" s="16" t="str">
        <x:v>Да/Нет</x:v>
      </x:c>
      <x:c r="E16" s="16" t="str">
        <x:v>Есть ли подтвержденный спрос.</x:v>
      </x:c>
      <x:c r="F16" s="16" t="str">
        <x:v>Ввод</x:v>
      </x:c>
    </x:row>
    <x:row r="17" ht="15" hidden="0" customHeight="1">
      <x:c r="A17" s="16" t="str">
        <x:v>Контроль</x:v>
      </x:c>
      <x:c r="B17" s="16" t="str">
        <x:v>Дата первого контроля</x:v>
      </x:c>
      <x:c r="C17" s="21" t="n">
        <x:v>46235</x:v>
      </x:c>
      <x:c r="D17" s="16" t="str">
        <x:v>дата</x:v>
      </x:c>
      <x:c r="E17" s="16" t="str">
        <x:v>Дата проверки остатков и продаж.</x:v>
      </x:c>
      <x:c r="F17" s="16" t="str">
        <x:v>Ввод</x:v>
      </x:c>
    </x:row>
    <x:row r="18" ht="15" hidden="0" customHeight="1">
      <x:c r="A18" s="16" t="str">
        <x:v>Ответственный</x:v>
      </x:c>
      <x:c r="B18" s="16" t="str">
        <x:v>Операционный директор</x:v>
      </x:c>
      <x:c r="C18" s="18" t="str">
        <x:v>Операционный директор</x:v>
      </x:c>
      <x:c r="D18" s="16" t="str">
        <x:v>роль</x:v>
      </x:c>
      <x:c r="E18" s="16" t="str">
        <x:v>Отвечает за закупку и склад.</x:v>
      </x:c>
      <x:c r="F18" s="16" t="str">
        <x:v>Ввод</x:v>
      </x:c>
    </x:row>
  </x:sheetData>
  <x:mergeCells>
    <x:mergeCell ref="A1:F1"/>
    <x:mergeCell ref="A2:F2"/>
  </x:mergeCells>
  <x:dataValidations count="1">
    <x:dataValidation type="list" sqref="C16">
      <x:formula1>"Да,Нет"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5" t="str">
        <x:v>02 Расчет: закупка, запас, оборачиваемость и деньги</x:v>
      </x:c>
      <x:c r="B1" s="5" t="str">
        <x:v>02 Расчет: закупка, запас, оборачиваемость и деньги</x:v>
      </x:c>
      <x:c r="C1" s="5" t="str">
        <x:v>02 Расчет: закупка, запас, оборачиваемость и деньги</x:v>
      </x:c>
      <x:c r="D1" s="5" t="str">
        <x:v>02 Расчет: закупка, запас, оборачиваемость и деньги</x:v>
      </x:c>
      <x:c r="E1" s="5" t="str">
        <x:v>02 Расчет: закупка, запас, оборачиваемость и деньги</x:v>
      </x:c>
    </x:row>
    <x:row r="2" ht="15" hidden="0" customHeight="1">
      <x:c r="A2" s="8" t="str">
        <x:v>Логика УМ: запас оценивается не только по наличию товара, но и по деньгам, скорости оборота и операционному риску.</x:v>
      </x:c>
      <x:c r="B2" s="8" t="str">
        <x:v>Логика УМ: запас оценивается не только по наличию товара, но и по деньгам, скорости оборота и операционному риску.</x:v>
      </x:c>
      <x:c r="C2" s="8" t="str">
        <x:v>Логика УМ: запас оценивается не только по наличию товара, но и по деньгам, скорости оборота и операционному риску.</x:v>
      </x:c>
      <x:c r="D2" s="8" t="str">
        <x:v>Логика УМ: запас оценивается не только по наличию товара, но и по деньгам, скорости оборота и операционному риску.</x:v>
      </x:c>
      <x:c r="E2" s="8" t="str">
        <x:v>Логика УМ: запас оценивается не только по наличию товара, но и по деньгам, скорости оборота и операционному риску.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Формула / смысл</x:v>
      </x:c>
    </x:row>
    <x:row r="5" ht="15" hidden="0" customHeight="1">
      <x:c r="A5" s="16" t="str">
        <x:v>Спрос</x:v>
      </x:c>
      <x:c r="B5" s="16" t="str">
        <x:v>Дневной спрос</x:v>
      </x:c>
      <x:c r="C5" s="23" t="n">
        <x:f>'01 Ввод'!C5/30</x:f>
        <x:v>333.3333333333333</x:v>
      </x:c>
      <x:c r="D5" s="16" t="str">
        <x:v>шт./день</x:v>
      </x:c>
      <x:c r="E5" s="16" t="str">
        <x:v>Месячный спрос / 30.</x:v>
      </x:c>
    </x:row>
    <x:row r="6" ht="15" hidden="0" customHeight="1">
      <x:c r="A6" s="16" t="str">
        <x:v>Порог</x:v>
      </x:c>
      <x:c r="B6" s="16" t="str">
        <x:v>Минимальный нужный запас</x:v>
      </x:c>
      <x:c r="C6" s="24" t="n">
        <x:f>C5*('01 Ввод'!C9+'01 Ввод'!C10)</x:f>
        <x:v>11666.666666666666</x:v>
      </x:c>
      <x:c r="D6" s="16" t="str">
        <x:v>шт.</x:v>
      </x:c>
      <x:c r="E6" s="16" t="str">
        <x:v>Дневной спрос × срок поставки и страховой запас.</x:v>
      </x:c>
    </x:row>
    <x:row r="7" ht="15" hidden="0" customHeight="1">
      <x:c r="A7" s="16" t="str">
        <x:v>После закупки</x:v>
      </x:c>
      <x:c r="B7" s="16" t="str">
        <x:v>Запас после закупки</x:v>
      </x:c>
      <x:c r="C7" s="24" t="n">
        <x:f>'01 Ввод'!C8+'01 Ввод'!C7</x:f>
        <x:v>27000</x:v>
      </x:c>
      <x:c r="D7" s="16" t="str">
        <x:v>шт.</x:v>
      </x:c>
      <x:c r="E7" s="16" t="str">
        <x:v>Текущий запас + закупка.</x:v>
      </x:c>
    </x:row>
    <x:row r="8" ht="15" hidden="0" customHeight="1">
      <x:c r="A8" s="16" t="str">
        <x:v>Излишек</x:v>
      </x:c>
      <x:c r="B8" s="16" t="str">
        <x:v>Излишний запас</x:v>
      </x:c>
      <x:c r="C8" s="24" t="n">
        <x:f>MAX(0,C7-C6)</x:f>
        <x:v>15333.333333333334</x:v>
      </x:c>
      <x:c r="D8" s="16" t="str">
        <x:v>шт.</x:v>
      </x:c>
      <x:c r="E8" s="16" t="str">
        <x:v>Запас сверх нужного уровня.</x:v>
      </x:c>
    </x:row>
    <x:row r="9" ht="15" hidden="0" customHeight="1">
      <x:c r="A9" s="16" t="str">
        <x:v>Дефицит</x:v>
      </x:c>
      <x:c r="B9" s="16" t="str">
        <x:v>Риск дефицита</x:v>
      </x:c>
      <x:c r="C9" s="24" t="n">
        <x:f>MAX(0,C6-C7)</x:f>
        <x:v>0</x:v>
      </x:c>
      <x:c r="D9" s="16" t="str">
        <x:v>шт.</x:v>
      </x:c>
      <x:c r="E9" s="16" t="str">
        <x:v>Недостаток до нужного уровня.</x:v>
      </x:c>
    </x:row>
    <x:row r="10" ht="15" hidden="0" customHeight="1">
      <x:c r="A10" s="16" t="str">
        <x:v>Деньги</x:v>
      </x:c>
      <x:c r="B10" s="16" t="str">
        <x:v>Деньги в запасе после закупки</x:v>
      </x:c>
      <x:c r="C10" s="24" t="n">
        <x:f>C7*'01 Ввод'!C6</x:f>
        <x:v>21600000</x:v>
      </x:c>
      <x:c r="D10" s="16" t="str">
        <x:v>руб.</x:v>
      </x:c>
      <x:c r="E10" s="16" t="str">
        <x:v>Запас × себестоимость.</x:v>
      </x:c>
    </x:row>
    <x:row r="11" ht="15" hidden="0" customHeight="1">
      <x:c r="A11" s="16" t="str">
        <x:v>Деньги</x:v>
      </x:c>
      <x:c r="B11" s="16" t="str">
        <x:v>Деньги в излишке</x:v>
      </x:c>
      <x:c r="C11" s="24" t="n">
        <x:f>C8*'01 Ввод'!C6</x:f>
        <x:v>12266666.666666668</x:v>
      </x:c>
      <x:c r="D11" s="16" t="str">
        <x:v>руб.</x:v>
      </x:c>
      <x:c r="E11" s="16" t="str">
        <x:v>Излишек × себестоимость.</x:v>
      </x:c>
    </x:row>
    <x:row r="12" ht="15" hidden="0" customHeight="1">
      <x:c r="A12" s="16" t="str">
        <x:v>Деньги</x:v>
      </x:c>
      <x:c r="B12" s="16" t="str">
        <x:v>Годовая стоимость владения запасом</x:v>
      </x:c>
      <x:c r="C12" s="24" t="n">
        <x:f>C10*('01 Ввод'!C11+'01 Ввод'!C12)</x:f>
        <x:v>8208000</x:v>
      </x:c>
      <x:c r="D12" s="16" t="str">
        <x:v>руб.</x:v>
      </x:c>
      <x:c r="E12" s="16" t="str">
        <x:v>Хранение + стоимость денег.</x:v>
      </x:c>
    </x:row>
    <x:row r="13" ht="15" hidden="0" customHeight="1">
      <x:c r="A13" s="16" t="str">
        <x:v>Оборот</x:v>
      </x:c>
      <x:c r="B13" s="16" t="str">
        <x:v>Дни запаса после закупки</x:v>
      </x:c>
      <x:c r="C13" s="23" t="n">
        <x:f>IF(C5&lt;=0,999,C7/C5)</x:f>
        <x:v>81</x:v>
      </x:c>
      <x:c r="D13" s="16" t="str">
        <x:v>дней</x:v>
      </x:c>
      <x:c r="E13" s="16" t="str">
        <x:v>Запас / дневной спрос.</x:v>
      </x:c>
    </x:row>
    <x:row r="14" ht="15" hidden="0" customHeight="1">
      <x:c r="A14" s="16" t="str">
        <x:v>Риск</x:v>
      </x:c>
      <x:c r="B14" s="16" t="str">
        <x:v>Стоимость риска дефицита</x:v>
      </x:c>
      <x:c r="C14" s="24" t="n">
        <x:f>C9*'01 Ввод'!C13</x:f>
        <x:v>0</x:v>
      </x:c>
      <x:c r="D14" s="16" t="str">
        <x:v>руб.</x:v>
      </x:c>
      <x:c r="E14" s="16" t="str">
        <x:v>Дефицит × штраф.</x:v>
      </x:c>
    </x:row>
    <x:row r="15" ht="15" hidden="0" customHeight="1">
      <x:c r="A15" s="16" t="str">
        <x:v>Рекомендация</x:v>
      </x:c>
      <x:c r="B15" s="16" t="str">
        <x:v>Максимальная закупка по целевым дням</x:v>
      </x:c>
      <x:c r="C15" s="24" t="n">
        <x:f>MAX(0,'01 Ввод'!C14*C5-'01 Ввод'!C8)</x:f>
        <x:v>3000</x:v>
      </x:c>
      <x:c r="D15" s="16" t="str">
        <x:v>шт.</x:v>
      </x:c>
      <x:c r="E15" s="16" t="str">
        <x:v>Сколько можно докупить без превышения целевых дней.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5"/>
      <x:c r="B1" s="5"/>
      <x:c r="C1" s="5"/>
      <x:c r="D1" s="5"/>
      <x:c r="E1" s="5"/>
    </x:row>
    <x:row r="2" ht="15" hidden="0" customHeight="1">
      <x:c r="A2" s="8"/>
      <x:c r="B2" s="8"/>
      <x:c r="C2" s="8"/>
      <x:c r="D2" s="8"/>
      <x:c r="E2" s="8"/>
    </x:row>
    <x:row r="3"/>
    <x:row r="4" ht="15" hidden="0" customHeight="1">
      <x:c r="A4" s="13" t="str">
        <x:v>Сценарий</x:v>
      </x:c>
      <x:c r="B4" s="13" t="str">
        <x:v>Параметр</x:v>
      </x:c>
      <x:c r="C4" s="13" t="str">
        <x:v>Результат</x:v>
      </x:c>
      <x:c r="D4" s="13" t="str">
        <x:v>Дельта / статус</x:v>
      </x:c>
      <x:c r="E4" s="13" t="str">
        <x:v>Вывод</x:v>
      </x:c>
    </x:row>
    <x:row r="5" ht="15" hidden="0" customHeight="1">
      <x:c r="A5" s="16" t="str">
        <x:v>Без закупки</x:v>
      </x:c>
      <x:c r="B5" s="24" t="n">
        <x:f>0</x:f>
        <x:v>0</x:v>
      </x:c>
      <x:c r="C5" s="24" t="n">
        <x:f>('01 Ввод'!C8+B5)*'01 Ввод'!C6</x:f>
        <x:v>9600000</x:v>
      </x:c>
      <x:c r="D5" s="23" t="n">
        <x:f>IF('02 Расчет'!C5&lt;=0,999,('01 Ввод'!C8+B5)/'02 Расчет'!C5)</x:f>
        <x:v>36</x:v>
      </x:c>
      <x:c r="E5" s="16" t="str">
        <x:f>IF(D5&lt;='01 Ввод'!C14,"проходит","излишек")</x:f>
        <x:v>проходит</x:v>
      </x:c>
    </x:row>
    <x:row r="6" ht="15" hidden="0" customHeight="1">
      <x:c r="A6" s="16" t="str">
        <x:v>Закупка 50%</x:v>
      </x:c>
      <x:c r="B6" s="24" t="n">
        <x:f>'01 Ввод'!C7*0.5</x:f>
        <x:v>7500</x:v>
      </x:c>
      <x:c r="C6" s="24" t="n">
        <x:f>('01 Ввод'!C8+B6)*'01 Ввод'!C6</x:f>
        <x:v>15600000</x:v>
      </x:c>
      <x:c r="D6" s="23" t="n">
        <x:f>IF('02 Расчет'!C5&lt;=0,999,('01 Ввод'!C8+B6)/'02 Расчет'!C5)</x:f>
        <x:v>58.5</x:v>
      </x:c>
      <x:c r="E6" s="16" t="str">
        <x:f>IF(D6&lt;='01 Ввод'!C14,"проходит","излишек")</x:f>
        <x:v>излишек</x:v>
      </x:c>
    </x:row>
    <x:row r="7" ht="15" hidden="0" customHeight="1">
      <x:c r="A7" s="16" t="str">
        <x:v>План закупки</x:v>
      </x:c>
      <x:c r="B7" s="24" t="n">
        <x:f>'01 Ввод'!C7</x:f>
        <x:v>15000</x:v>
      </x:c>
      <x:c r="C7" s="24" t="n">
        <x:f>'02 Расчет'!C10</x:f>
        <x:v>21600000</x:v>
      </x:c>
      <x:c r="D7" s="23" t="n">
        <x:f>'02 Расчет'!C13</x:f>
        <x:v>81</x:v>
      </x:c>
      <x:c r="E7" s="16" t="str">
        <x:f>IF(AND(D7&lt;='01 Ввод'!C14,C7&lt;='01 Ввод'!C15),"проходит","условия")</x:f>
        <x:v>условия</x:v>
      </x:c>
    </x:row>
    <x:row r="8" ht="15" hidden="0" customHeight="1">
      <x:c r="A8" s="16" t="str">
        <x:v>Максимум по дням</x:v>
      </x:c>
      <x:c r="B8" s="24" t="n">
        <x:f>'02 Расчет'!C15</x:f>
        <x:v>3000</x:v>
      </x:c>
      <x:c r="C8" s="24" t="n">
        <x:f>('01 Ввод'!C8+B8)*'01 Ввод'!C6</x:f>
        <x:v>12000000</x:v>
      </x:c>
      <x:c r="D8" s="23" t="n">
        <x:f>IF('02 Расчет'!C5&lt;=0,999,('01 Ввод'!C8+B8)/'02 Расчет'!C5)</x:f>
        <x:v>45</x:v>
      </x:c>
      <x:c r="E8" s="16" t="str">
        <x:f>"целевой порог"</x:f>
        <x:v>целевой порог</x:v>
      </x:c>
    </x:row>
    <x:row r="9" ht="15" hidden="0" customHeight="1">
      <x:c r="A9" s="16" t="str">
        <x:v>Закупка +50%</x:v>
      </x:c>
      <x:c r="B9" s="24" t="n">
        <x:f>'01 Ввод'!C7*1.5</x:f>
        <x:v>22500</x:v>
      </x:c>
      <x:c r="C9" s="24" t="n">
        <x:f>('01 Ввод'!C8+B9)*'01 Ввод'!C6</x:f>
        <x:v>27600000</x:v>
      </x:c>
      <x:c r="D9" s="23" t="n">
        <x:f>IF('02 Расчет'!C5&lt;=0,999,('01 Ввод'!C8+B9)/'02 Расчет'!C5)</x:f>
        <x:v>103.5</x:v>
      </x:c>
      <x:c r="E9" s="16" t="str">
        <x:f>IF(D9&lt;='01 Ввод'!C14,"проходит","излишек")</x:f>
        <x:v>излишек</x:v>
      </x:c>
    </x:row>
    <x:row r="10"/>
    <x:row r="11"/>
    <x:row r="12"/>
    <x:row r="13" ht="15" hidden="0" customHeight="1">
      <x:c r="A13" s="13" t="str">
        <x:v>Параметр сценария</x:v>
      </x:c>
      <x:c r="B13" s="13" t="str">
        <x:v>Результат</x:v>
      </x:c>
    </x:row>
    <x:row r="14" ht="15" hidden="0" customHeight="1">
      <x:c r="A14" s="16" t="str">
        <x:v>0%</x:v>
      </x:c>
      <x:c r="B14" s="25" t="n">
        <x:f>D5</x:f>
        <x:v>36</x:v>
      </x:c>
    </x:row>
    <x:row r="15" ht="15" hidden="0" customHeight="1">
      <x:c r="A15" s="16" t="str">
        <x:v>50%</x:v>
      </x:c>
      <x:c r="B15" s="25" t="n">
        <x:f>D6</x:f>
        <x:v>58.5</x:v>
      </x:c>
    </x:row>
    <x:row r="16" ht="15" hidden="0" customHeight="1">
      <x:c r="A16" s="16" t="str">
        <x:v>План</x:v>
      </x:c>
      <x:c r="B16" s="25" t="n">
        <x:f>D7</x:f>
        <x:v>81</x:v>
      </x:c>
    </x:row>
    <x:row r="17" ht="15" hidden="0" customHeight="1">
      <x:c r="A17" s="16" t="str">
        <x:v>Макс.</x:v>
      </x:c>
      <x:c r="B17" s="25" t="n">
        <x:f>D8</x:f>
        <x:v>45</x:v>
      </x:c>
    </x:row>
    <x:row r="18" ht="15" hidden="0" customHeight="1">
      <x:c r="A18" s="16" t="str">
        <x:v>+50%</x:v>
      </x:c>
      <x:c r="B18" s="25" t="n">
        <x:f>D9</x:f>
        <x:v>103.5</x:v>
      </x:c>
    </x:row>
  </x:sheetData>
  <x:mergeCells>
    <x:mergeCell ref="A1:E1"/>
    <x:mergeCell ref="A2:E2"/>
  </x:mergeCells>
  <x:conditionalFormatting sqref="E5:E9">
    <x:cfRule type="containsText" dxfId="0" priority="1" operator="containsText" text="Нельзя"/>
    <x:cfRule type="containsText" dxfId="1" priority="2" operator="containsText" text="Можно при условиях"/>
    <x:cfRule type="containsText" dxfId="2" priority="3" operator="containsText" text="Можно"/>
    <x:cfRule type="containsText" dxfId="3" priority="4" operator="containsText" text="ОК"/>
    <x:cfRule type="containsText" dxfId="4" priority="5" operator="containsText" text="Провал"/>
    <x:cfRule type="containsText" dxfId="5" priority="6" operator="containsText" text="услов"/>
  </x:conditionalFormatting>
  <x:pageMargins left="0.7" right="0.7" top="0.75" bottom="0.75" header="0.3" footer="0.3"/>
  <x:drawing xmlns:r="http://schemas.openxmlformats.org/officeDocument/2006/relationships" r:id="Rb775ebd721394d5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5" t="str">
        <x:v>04 Контуры проверки УМ</x:v>
      </x:c>
      <x:c r="B1" s="5" t="str">
        <x:v>04 Контуры проверки УМ</x:v>
      </x:c>
      <x:c r="C1" s="5" t="str">
        <x:v>04 Контуры проверки УМ</x:v>
      </x:c>
      <x:c r="D1" s="5" t="str">
        <x:v>04 Контуры проверки УМ</x:v>
      </x:c>
      <x:c r="E1" s="5" t="str">
        <x:v>04 Контуры проверки УМ</x:v>
      </x:c>
    </x:row>
    <x:row r="2" ht="15" hidden="0" customHeight="1">
      <x:c r="A2" s="8" t="str">
        <x:v>Контуры показывают, где решение проходит расчет, а где требует условия или отказа.</x:v>
      </x:c>
      <x:c r="B2" s="8" t="str">
        <x:v>Контуры показывают, где решение проходит расчет, а где требует условия или отказа.</x:v>
      </x:c>
      <x:c r="C2" s="8" t="str">
        <x:v>Контуры показывают, где решение проходит расчет, а где требует условия или отказа.</x:v>
      </x:c>
      <x:c r="D2" s="8" t="str">
        <x:v>Контуры показывают, где решение проходит расчет, а где требует условия или отказа.</x:v>
      </x:c>
      <x:c r="E2" s="8" t="str">
        <x:v>Контуры показывают, где решение проходит расчет, а где требует условия или отказа.</x:v>
      </x:c>
    </x:row>
    <x:row r="3"/>
    <x:row r="4" ht="15" hidden="0" customHeight="1">
      <x:c r="A4" s="13" t="str">
        <x:v>Контур</x:v>
      </x:c>
      <x:c r="B4" s="13" t="str">
        <x:v>Проверка</x:v>
      </x:c>
      <x:c r="C4" s="13" t="str">
        <x:v>Результат</x:v>
      </x:c>
      <x:c r="D4" s="13" t="str">
        <x:v>Как читать</x:v>
      </x:c>
      <x:c r="E4" s="13" t="str">
        <x:v>Ответственный</x:v>
      </x:c>
    </x:row>
    <x:row r="5" ht="15" hidden="0" customHeight="1">
      <x:c r="A5" s="16" t="str">
        <x:v>Деньги</x:v>
      </x:c>
      <x:c r="B5" s="16" t="str">
        <x:v>Запас укладывается в денежный лимит</x:v>
      </x:c>
      <x:c r="C5" s="22" t="str">
        <x:f>IF('02 Расчет'!C10&lt;='01 Ввод'!C15,"ОК","Провал")</x:f>
        <x:v>Провал</x:v>
      </x:c>
      <x:c r="D5" s="16" t="str">
        <x:v>Деньги в запасе не должны превышать лимит.</x:v>
      </x:c>
      <x:c r="E5" s="16" t="str">
        <x:v>Финансовый директор</x:v>
      </x:c>
    </x:row>
    <x:row r="6" ht="15" hidden="0" customHeight="1">
      <x:c r="A6" s="16" t="str">
        <x:v>Оборот</x:v>
      </x:c>
      <x:c r="B6" s="16" t="str">
        <x:v>Дни запаса не выше целевого порога</x:v>
      </x:c>
      <x:c r="C6" s="22" t="str">
        <x:f>IF('02 Расчет'!C13&lt;='01 Ввод'!C14,"ОК","Провал")</x:f>
        <x:v>Провал</x:v>
      </x:c>
      <x:c r="D6" s="16" t="str">
        <x:v>Запас не должен тормозить оборачиваемость.</x:v>
      </x:c>
      <x:c r="E6" s="16" t="str">
        <x:v>Операционный директор</x:v>
      </x:c>
    </x:row>
    <x:row r="7" ht="15" hidden="0" customHeight="1">
      <x:c r="A7" s="16" t="str">
        <x:v>Риск</x:v>
      </x:c>
      <x:c r="B7" s="16" t="str">
        <x:v>Нет дефицита</x:v>
      </x:c>
      <x:c r="C7" s="22" t="str">
        <x:f>IF('02 Расчет'!C9=0,"ОК","Провал")</x:f>
        <x:v>ОК</x:v>
      </x:c>
      <x:c r="D7" s="16" t="str">
        <x:v>Закупка должна закрывать срок поставки и страховой запас.</x:v>
      </x:c>
      <x:c r="E7" s="16" t="str">
        <x:v>Операционный директор</x:v>
      </x:c>
    </x:row>
    <x:row r="8" ht="15" hidden="0" customHeight="1">
      <x:c r="A8" s="16" t="str">
        <x:v>Данные</x:v>
      </x:c>
      <x:c r="B8" s="16" t="str">
        <x:v>Спрос подтвержден</x:v>
      </x:c>
      <x:c r="C8" s="22" t="str">
        <x:f>IF('01 Ввод'!C16="Да","ОК","Провал")</x:f>
        <x:v>ОК</x:v>
      </x:c>
      <x:c r="D8" s="16" t="str">
        <x:v>Без подтверждения спроса закупка ограничивается.</x:v>
      </x:c>
      <x:c r="E8" s="16" t="str">
        <x:v>Коммерческий директор</x:v>
      </x:c>
    </x:row>
  </x:sheetData>
  <x:mergeCells>
    <x:mergeCell ref="A1:E1"/>
    <x:mergeCell ref="A2:E2"/>
  </x:mergeCells>
  <x:conditionalFormatting sqref="C5:C8">
    <x:cfRule type="containsText" dxfId="6" priority="1" operator="containsText" text="Нельзя"/>
    <x:cfRule type="containsText" dxfId="7" priority="2" operator="containsText" text="Можно при условиях"/>
    <x:cfRule type="containsText" dxfId="8" priority="3" operator="containsText" text="Можно"/>
    <x:cfRule type="containsText" dxfId="9" priority="4" operator="containsText" text="ОК"/>
    <x:cfRule type="containsText" dxfId="10" priority="5" operator="containsText" text="Провал"/>
    <x:cfRule type="containsText" dxfId="11" priority="6" operator="containsText" text="услов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5" t="str">
        <x:v>05 Статус решения</x:v>
      </x:c>
      <x:c r="B1" s="5" t="str">
        <x:v>05 Статус решения</x:v>
      </x:c>
      <x:c r="C1" s="5" t="str">
        <x:v>05 Статус решения</x:v>
      </x:c>
    </x:row>
    <x:row r="2" ht="15" hidden="0" customHeight="1">
      <x:c r="A2" s="8" t="str">
        <x:v>Статус рассчитывается из порога, сценариев, контуров и подтверждения данных. Статус не вводится вручную.</x:v>
      </x:c>
      <x:c r="B2" s="8" t="str">
        <x:v>Статус рассчитывается из порога, сценариев, контуров и подтверждения данных. Статус не вводится вручную.</x:v>
      </x:c>
      <x:c r="C2" s="8" t="str">
        <x:v>Статус рассчитывается из порога, сценариев, контуров и подтверждения данных. Статус не вводится вручную.</x:v>
      </x:c>
    </x:row>
    <x:row r="3"/>
    <x:row r="4" ht="15" hidden="0" customHeight="1">
      <x:c r="A4" s="13" t="str">
        <x:v>Проверка</x:v>
      </x:c>
      <x:c r="B4" s="13" t="str">
        <x:v>Значение</x:v>
      </x:c>
      <x:c r="C4" s="13" t="str">
        <x:v>Комментарий</x:v>
      </x:c>
    </x:row>
    <x:row r="5" ht="15" hidden="0" customHeight="1">
      <x:c r="A5" s="16" t="str">
        <x:v>Дни запаса после закупки</x:v>
      </x:c>
      <x:c r="B5" s="23" t="n">
        <x:f>'02 Расчет'!C13</x:f>
        <x:v>81</x:v>
      </x:c>
      <x:c r="C5" s="16" t="str">
        <x:v>Ключевой показатель оборачиваемости.</x:v>
      </x:c>
    </x:row>
    <x:row r="6" ht="15" hidden="0" customHeight="1">
      <x:c r="A6" s="16" t="str">
        <x:v>Целевые дни запаса</x:v>
      </x:c>
      <x:c r="B6" s="24" t="n">
        <x:f>'01 Ввод'!C14</x:f>
        <x:v>45</x:v>
      </x:c>
      <x:c r="C6" s="16" t="str">
        <x:v>Порог допустимости.</x:v>
      </x:c>
    </x:row>
    <x:row r="7" ht="15" hidden="0" customHeight="1">
      <x:c r="A7" s="16" t="str">
        <x:v>Деньги в запасе</x:v>
      </x:c>
      <x:c r="B7" s="24" t="n">
        <x:f>'02 Расчет'!C10</x:f>
        <x:v>21600000</x:v>
      </x:c>
      <x:c r="C7" s="16" t="str">
        <x:v>Сколько денег будет заморожено.</x:v>
      </x:c>
    </x:row>
    <x:row r="8" ht="15" hidden="0" customHeight="1">
      <x:c r="A8" s="16" t="str">
        <x:v>Денежный лимит</x:v>
      </x:c>
      <x:c r="B8" s="24" t="n">
        <x:f>'01 Ввод'!C15</x:f>
        <x:v>15000000</x:v>
      </x:c>
      <x:c r="C8" s="16" t="str">
        <x:v>Ограничение компании.</x:v>
      </x:c>
    </x:row>
    <x:row r="9" ht="15" hidden="0" customHeight="1">
      <x:c r="A9" s="16" t="str">
        <x:v>Риск дефицита</x:v>
      </x:c>
      <x:c r="B9" s="24" t="n">
        <x:f>'02 Расчет'!C9</x:f>
        <x:v>0</x:v>
      </x:c>
      <x:c r="C9" s="16" t="str">
        <x:v>Если больше 0, закупки недостаточно.</x:v>
      </x:c>
    </x:row>
    <x:row r="10" ht="15" hidden="0" customHeight="1">
      <x:c r="A10" s="27" t="str">
        <x:v>Статус решения</x:v>
      </x:c>
      <x:c r="B10" s="27" t="str">
        <x:f>IF(AND(B5&lt;=B6,B7&lt;=B8,B9=0,'01 Ввод'!C16="Да"),"Можно",IF(AND(B9=0,'01 Ввод'!C16="Да"),"Можно при условиях","Нельзя в текущей модели"))</x:f>
        <x:v>Можно при условиях</x:v>
      </x:c>
      <x:c r="C10" s="27" t="str">
        <x:v>Итоговый вердикт УМ.</x:v>
      </x:c>
    </x:row>
    <x:row r="11"/>
    <x:row r="12"/>
    <x:row r="13" ht="15" hidden="0" customHeight="1">
      <x:c r="A13" s="16" t="str">
        <x:v>Светофор</x:v>
      </x:c>
      <x:c r="B13" s="16"/>
    </x:row>
    <x:row r="14" ht="15" hidden="0" customHeight="1">
      <x:c r="A14" s="29" t="str">
        <x:v>Можно</x:v>
      </x:c>
      <x:c r="B14" s="29" t="str">
        <x:v>зеленый: расчет проходит</x:v>
      </x:c>
    </x:row>
    <x:row r="15" ht="26.399999618530273" hidden="0" customHeight="1">
      <x:c r="A15" s="26" t="str">
        <x:v>Можно при условиях</x:v>
      </x:c>
      <x:c r="B15" s="26" t="str">
        <x:v>желтый: запуск только при числовых условиях</x:v>
      </x:c>
    </x:row>
    <x:row r="16" ht="26.399999618530273" hidden="0" customHeight="1">
      <x:c r="A16" s="31" t="str">
        <x:v>Нельзя в текущей модели</x:v>
      </x:c>
      <x:c r="B16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5" t="str">
        <x:v>06 Управленческий ответ</x:v>
      </x:c>
      <x:c r="B1" s="5" t="str">
        <x:v>06 Управленческий ответ</x:v>
      </x:c>
    </x:row>
    <x:row r="2" ht="15" hidden="0" customHeight="1">
      <x:c r="A2" s="8" t="str">
        <x:v>Ответ формируется в управленческом языке: что разрешить, на каких условиях, что сказать адресату.</x:v>
      </x:c>
      <x:c r="B2" s="8" t="str">
        <x:v>Ответ формируется в управленческом языке: что разрешить, на каких условиях, что сказать адресату.</x:v>
      </x:c>
    </x:row>
    <x:row r="3"/>
    <x:row r="4" ht="15" hidden="0" customHeight="1">
      <x:c r="A4" s="13" t="str">
        <x:v>Блок ответа</x:v>
      </x:c>
      <x:c r="B4" s="13" t="str">
        <x:v>Текст</x:v>
      </x:c>
    </x:row>
    <x:row r="5" ht="15" hidden="0" customHeight="1">
      <x:c r="A5" s="29" t="str">
        <x:v>Короткий ответ</x:v>
      </x:c>
      <x:c r="B5" s="29" t="str">
        <x:f>"Закупку "&amp;TEXT('01 Ввод'!C7,"#,##0")&amp;" шт. можно запускать только если дни запаса не выше "&amp;TEXT('01 Ввод'!C14,"0")&amp;" и деньги в запасе не превышают "&amp;TEXT('01 Ввод'!C15,"#,##0")&amp;" руб."</x:f>
        <x:v>Закупку 15,000 шт. можно запускать только если дни запаса не выше 45 и деньги в запасе не превышают 15,000,000 руб.</x:v>
      </x:c>
    </x:row>
    <x:row r="6" ht="15" hidden="0" customHeight="1">
      <x:c r="A6" s="26" t="str">
        <x:v>Условия</x:v>
      </x:c>
      <x:c r="B6" s="26" t="str">
        <x:f>"Максимальная закупка по целевым дням запаса: "&amp;TEXT('02 Расчет'!C15,"#,##0")&amp;" шт.; плановая закупка: "&amp;TEXT('01 Ввод'!C7,"#,##0")&amp;" шт."</x:f>
        <x:v>Максимальная закупка по целевым дням запаса: 3,000 шт.; плановая закупка: 15,000 шт.</x:v>
      </x:c>
    </x:row>
    <x:row r="7" ht="26.399999618530273" hidden="0" customHeight="1">
      <x:c r="A7" s="26" t="str">
        <x:v>Пояснение</x:v>
      </x:c>
      <x:c r="B7" s="22" t="str">
        <x:f>"УМ переводит закупку в деньги, дни оборачиваемости и риск дефицита. Излишек товара является управленческой ошибкой так же, как и нехватка товара."</x:f>
        <x:v>УМ переводит закупку в деньги, дни оборачиваемости и риск дефицита. Излишек товара является управленческой ошибкой так же, как и нехватка товара.</x:v>
      </x:c>
    </x:row>
    <x:row r="8" ht="15" hidden="0" customHeight="1">
      <x:c r="A8" s="26" t="str">
        <x:v>Если условия не принимаются</x:v>
      </x:c>
      <x:c r="B8" s="26" t="str">
        <x:f>IF('05 Статус'!B10="Нельзя в текущей модели","Не запускать закупку в текущем объеме.","Если факт спроса ниже плана или дни запаса выше порога, закупку сократить или перейти на поэтапную поставку.")</x:f>
        <x:v>Если факт спроса ниже плана или дни запаса выше порога, закупку сократить или перейти на поэтапную поставку.</x:v>
      </x:c>
    </x:row>
    <x:row r="9" ht="15" hidden="0" customHeight="1">
      <x:c r="A9" s="16" t="str">
        <x:v>Что нельзя говорить</x:v>
      </x:c>
      <x:c r="B9" s="16" t="str">
        <x:v>Не принимать решение “купим с запасом” без расчета денег, дней запаса и риска дефицита.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5" t="str">
        <x:v>07 Контроль исполнения</x:v>
      </x:c>
      <x:c r="B1" s="5" t="str">
        <x:v>07 Контроль исполнения</x:v>
      </x:c>
      <x:c r="C1" s="5" t="str">
        <x:v>07 Контроль исполнения</x:v>
      </x:c>
      <x:c r="D1" s="5" t="str">
        <x:v>07 Контроль исполнения</x:v>
      </x:c>
      <x:c r="E1" s="5" t="str">
        <x:v>07 Контроль исполнения</x:v>
      </x:c>
      <x:c r="F1" s="5" t="str">
        <x:v>07 Контроль исполнения</x:v>
      </x:c>
    </x:row>
    <x:row r="2" ht="15" hidden="0" customHeight="1">
      <x:c r="A2" s="8" t="str">
        <x:v>Контроль фиксирует показатель, порог, факт, статус, действие при отклонении и ответственного.</x:v>
      </x:c>
      <x:c r="B2" s="8" t="str">
        <x:v>Контроль фиксирует показатель, порог, факт, статус, действие при отклонении и ответственного.</x:v>
      </x:c>
      <x:c r="C2" s="8" t="str">
        <x:v>Контроль фиксирует показатель, порог, факт, статус, действие при отклонении и ответственного.</x:v>
      </x:c>
      <x:c r="D2" s="8" t="str">
        <x:v>Контроль фиксирует показатель, порог, факт, статус, действие при отклонении и ответственного.</x:v>
      </x:c>
      <x:c r="E2" s="8" t="str">
        <x:v>Контроль фиксирует показатель, порог, факт, статус, действие при отклонении и ответственного.</x:v>
      </x:c>
      <x:c r="F2" s="8" t="str">
        <x:v>Контроль фиксирует показатель, порог, факт, статус, действие при отклонении и ответственного.</x:v>
      </x:c>
    </x:row>
    <x:row r="3"/>
    <x:row r="4" ht="15" hidden="0" customHeight="1">
      <x:c r="A4" s="13" t="str">
        <x:v>Показатель контроля</x:v>
      </x:c>
      <x:c r="B4" s="13" t="str">
        <x:v>Порог</x:v>
      </x:c>
      <x:c r="C4" s="13" t="str">
        <x:v>Факт</x:v>
      </x:c>
      <x:c r="D4" s="13" t="str">
        <x:v>Статус</x:v>
      </x:c>
      <x:c r="E4" s="13" t="str">
        <x:v>Что делать при отклонении</x:v>
      </x:c>
      <x:c r="F4" s="13" t="str">
        <x:v>Ответственный</x:v>
      </x:c>
    </x:row>
    <x:row r="5" ht="15" hidden="0" customHeight="1">
      <x:c r="A5" s="16" t="str">
        <x:v>Дни запаса</x:v>
      </x:c>
      <x:c r="B5" s="23" t="n">
        <x:f>'01 Ввод'!C14</x:f>
        <x:v>45</x:v>
      </x:c>
      <x:c r="C5" s="33"/>
      <x:c r="D5" s="16" t="str">
        <x:f>IF(C5="","ждет факта",IF(C5&lt;=B5,"ОК","Отклонение"))</x:f>
        <x:v>ждет факта</x:v>
      </x:c>
      <x:c r="E5" s="16" t="str">
        <x:v>Сократить закупку или сделать поставку этапами.</x:v>
      </x:c>
      <x:c r="F5" s="16" t="str">
        <x:v>Операционный директор</x:v>
      </x:c>
    </x:row>
    <x:row r="6" ht="15" hidden="0" customHeight="1">
      <x:c r="A6" s="16" t="str">
        <x:v>Деньги в запасе</x:v>
      </x:c>
      <x:c r="B6" s="24" t="n">
        <x:f>'01 Ввод'!C15</x:f>
        <x:v>15000000</x:v>
      </x:c>
      <x:c r="C6" s="19"/>
      <x:c r="D6" s="16" t="str">
        <x:f>IF(C6="","ждет факта",IF(C6&lt;=B6,"ОК","Отклонение"))</x:f>
        <x:v>ждет факта</x:v>
      </x:c>
      <x:c r="E6" s="16" t="str">
        <x:v>Ограничить закупку по денежному лимиту.</x:v>
      </x:c>
      <x:c r="F6" s="16" t="str">
        <x:v>Финансовый директор</x:v>
      </x:c>
    </x:row>
    <x:row r="7" ht="15" hidden="0" customHeight="1">
      <x:c r="A7" s="16" t="str">
        <x:v>Риск дефицита</x:v>
      </x:c>
      <x:c r="B7" s="24" t="n">
        <x:f>0</x:f>
        <x:v>0</x:v>
      </x:c>
      <x:c r="C7" s="19"/>
      <x:c r="D7" s="16" t="str">
        <x:f>IF(C7="","ждет факта",IF(C7&lt;=B7,"ОК","Отклонение"))</x:f>
        <x:v>ждет факта</x:v>
      </x:c>
      <x:c r="E7" s="16" t="str">
        <x:v>Ускорить поставку или изменить страховой запас.</x:v>
      </x:c>
      <x:c r="F7" s="16" t="str">
        <x:v>Операционный директор</x:v>
      </x:c>
    </x:row>
    <x:row r="8" ht="15" hidden="0" customHeight="1">
      <x:c r="A8" s="16" t="str">
        <x:v>Дата контроля</x:v>
      </x:c>
      <x:c r="B8" s="34" t="n">
        <x:f>'01 Ввод'!C17</x:f>
        <x:v>46235</x:v>
      </x:c>
      <x:c r="C8" s="21"/>
      <x:c r="D8" s="16" t="str">
        <x:f>IF(C8="","ждет факта",IF(C8&lt;=B8,"ОК","Отклонение"))</x:f>
        <x:v>ждет факта</x:v>
      </x:c>
      <x:c r="E8" s="16" t="str">
        <x:v>Проверить остатки и продажи.</x:v>
      </x:c>
      <x:c r="F8" s="16" t="str">
        <x:v>Операционный директор</x:v>
      </x:c>
    </x:row>
  </x:sheetData>
  <x:mergeCells>
    <x:mergeCell ref="A1:F1"/>
    <x:mergeCell ref="A2:F2"/>
  </x:mergeCells>
  <x:conditionalFormatting sqref="D5:D8">
    <x:cfRule type="containsText" dxfId="12" priority="1" operator="containsText" text="Нельзя"/>
    <x:cfRule type="containsText" dxfId="13" priority="2" operator="containsText" text="Можно при условиях"/>
    <x:cfRule type="containsText" dxfId="14" priority="3" operator="containsText" text="Можно"/>
    <x:cfRule type="containsText" dxfId="15" priority="4" operator="containsText" text="ОК"/>
    <x:cfRule type="containsText" dxfId="16" priority="5" operator="containsText" text="Провал"/>
    <x:cfRule type="containsText" dxfId="17" priority="6" operator="containsText" text="услов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62" hidden="0" customWidth="1"/>
  </x:cols>
  <x:sheetData>
    <x:row r="1" ht="18" hidden="0" customHeight="1">
      <x:c r="A1" s="5" t="str">
        <x:v>08 Проверка модели</x:v>
      </x:c>
      <x:c r="B1" s="5" t="str">
        <x:v>08 Проверка модели</x:v>
      </x:c>
      <x:c r="C1" s="5" t="str">
        <x:v>08 Проверка модели</x:v>
      </x:c>
    </x:row>
    <x:row r="2" ht="15" hidden="0" customHeight="1">
      <x:c r="A2" s="8" t="str">
        <x:v>Проверка подтверждает, что решатор является расчетной моделью, а не статическим примером.</x:v>
      </x:c>
      <x:c r="B2" s="8" t="str">
        <x:v>Проверка подтверждает, что решатор является расчетной моделью, а не статическим примером.</x:v>
      </x:c>
      <x:c r="C2" s="8" t="str">
        <x:v>Проверка подтверждает, что решатор является расчетной моделью, а не статическим примером.</x:v>
      </x:c>
    </x:row>
    <x:row r="3"/>
    <x:row r="4" ht="15" hidden="0" customHeight="1">
      <x:c r="A4" s="13" t="str">
        <x:v>Проверка</x:v>
      </x:c>
      <x:c r="B4" s="13" t="str">
        <x:v>Результат</x:v>
      </x:c>
      <x:c r="C4" s="13" t="str">
        <x:v>Комментарий</x:v>
      </x:c>
    </x:row>
    <x:row r="5" ht="15" hidden="0" customHeight="1">
      <x:c r="A5" s="16" t="str">
        <x:v>Статус рассчитан</x:v>
      </x:c>
      <x:c r="B5" s="22" t="str">
        <x:f>IF('05 Статус'!B10&lt;&gt;"","PASS","FAIL")</x:f>
        <x:v>PASS</x:v>
      </x:c>
      <x:c r="C5" s="16" t="str">
        <x:v>Статус не должен быть пустым.</x:v>
      </x:c>
    </x:row>
    <x:row r="6" ht="15" hidden="0" customHeight="1">
      <x:c r="A6" s="16" t="str">
        <x:v>Ключевой порог рассчитан</x:v>
      </x:c>
      <x:c r="B6" s="22" t="str">
        <x:f>IF(ISNUMBER('02 Расчет'!C15),"PASS","FAIL")</x:f>
        <x:v>PASS</x:v>
      </x:c>
      <x:c r="C6" s="16" t="str">
        <x:v>Главный порог должен быть числом.</x:v>
      </x:c>
    </x:row>
    <x:row r="7" ht="15" hidden="0" customHeight="1">
      <x:c r="A7" s="16" t="str">
        <x:v>Ответ сформирован</x:v>
      </x:c>
      <x:c r="B7" s="22" t="str">
        <x:f>IF('06 Ответ'!B5&lt;&gt;"","PASS","FAIL")</x:f>
        <x:v>PASS</x:v>
      </x:c>
      <x:c r="C7" s="16" t="str">
        <x:v>Управленческий ответ должен быть текстом.</x:v>
      </x:c>
    </x:row>
    <x:row r="8" ht="15" hidden="0" customHeight="1">
      <x:c r="A8" s="16" t="str">
        <x:v>Данные подтверждены или явно ограничены</x:v>
      </x:c>
      <x:c r="B8" s="22" t="str">
        <x:f>IF('01 Ввод'!C16="Да","PASS","FAIL")</x:f>
        <x:v>PASS</x:v>
      </x:c>
      <x:c r="C8" s="16" t="str">
        <x:v>Качество данных влияет на статус.</x:v>
      </x:c>
    </x:row>
    <x:row r="9" ht="15" hidden="0" customHeight="1">
      <x:c r="A9" s="16" t="str">
        <x:v>Нет отрицательной логики</x:v>
      </x:c>
      <x:c r="B9" s="22" t="str">
        <x:f>IF('02 Расчет'!C5&gt;0,"PASS","FAIL")</x:f>
        <x:v>PASS</x:v>
      </x:c>
      <x:c r="C9" s="16" t="str">
        <x:v>Порог и результат должны быть управленчески интерпретируемы.</x:v>
      </x:c>
    </x:row>
    <x:row r="10" ht="15" hidden="0" customHeight="1">
      <x:c r="A10" s="16" t="str">
        <x:v>Модель готова к проверке</x:v>
      </x:c>
      <x:c r="B10" s="22" t="str">
        <x:f>IF(COUNTIF(B5:B9,"FAIL")=0,"PASS","FAIL")</x:f>
        <x:v>PASS</x:v>
      </x:c>
      <x:c r="C10" s="16" t="str">
        <x:v>Если все PASS, файл можно тестировать вручную.</x:v>
      </x:c>
    </x:row>
  </x:sheetData>
  <x:mergeCells>
    <x:mergeCell ref="A1:C1"/>
    <x:mergeCell ref="A2:C2"/>
  </x:mergeCells>
  <x:conditionalFormatting sqref="B5:B10">
    <x:cfRule type="containsText" dxfId="18" priority="1" operator="containsText" text="Нельзя"/>
    <x:cfRule type="containsText" dxfId="19" priority="2" operator="containsText" text="Можно при условиях"/>
    <x:cfRule type="containsText" dxfId="20" priority="3" operator="containsText" text="Можно"/>
    <x:cfRule type="containsText" dxfId="21" priority="4" operator="containsText" text="ОК"/>
    <x:cfRule type="containsText" dxfId="22" priority="5" operator="containsText" text="Провал"/>
    <x:cfRule type="containsText" dxfId="23" priority="6" operator="containsText" text="услов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75" t="str">
        <x:v>00 Каталог решаторов УМ</x:v>
      </x:c>
      <x:c r="B1" s="75" t="str">
        <x:v>00 Каталог решаторов УМ</x:v>
      </x:c>
      <x:c r="C1" s="75" t="str">
        <x:v>00 Каталог решаторов УМ</x:v>
      </x:c>
      <x:c r="D1" s="75" t="str">
        <x:v>00 Каталог решаторов УМ</x:v>
      </x:c>
      <x:c r="E1" s="75" t="str">
        <x:v>00 Каталог решаторов УМ</x:v>
      </x:c>
    </x:row>
    <x:row r="2" ht="15" hidden="0" customHeight="1">
      <x:c r="A2" s="77" t="str">
        <x:v>Навигационный лист: полный каталог типовых решаторов УМ / Управленческой математики и статус текущего файла.</x:v>
      </x:c>
      <x:c r="B2" s="77" t="str">
        <x:v>Навигационный лист: полный каталог типовых решаторов УМ / Управленческой математики и статус текущего файла.</x:v>
      </x:c>
      <x:c r="C2" s="77" t="str">
        <x:v>Навигационный лист: полный каталог типовых решаторов УМ / Управленческой математики и статус текущего файла.</x:v>
      </x:c>
      <x:c r="D2" s="77" t="str">
        <x:v>Навигационный лист: полный каталог типовых решаторов УМ / Управленческой математики и статус текущего файла.</x:v>
      </x:c>
      <x:c r="E2" s="77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82" t="str">
        <x:v>№</x:v>
      </x:c>
      <x:c r="B4" s="82" t="str">
        <x:v>Группа задач</x:v>
      </x:c>
      <x:c r="C4" s="82" t="str">
        <x:v>Название решатора</x:v>
      </x:c>
      <x:c r="D4" s="82" t="str">
        <x:v>Что показывает</x:v>
      </x:c>
      <x:c r="E4" s="82" t="str">
        <x:v>Статус</x:v>
      </x:c>
    </x:row>
    <x:row r="5" ht="15" hidden="0" customHeight="1">
      <x:c r="A5" s="83" t="n">
        <x:v>1</x:v>
      </x:c>
      <x:c r="B5" s="83" t="str">
        <x:v>Коммерческие условия</x:v>
      </x:c>
      <x:c r="C5" s="83" t="str">
        <x:v>Скидка и отсрочка клиента</x:v>
      </x:c>
      <x:c r="D5" s="83" t="str">
        <x:v>Какой рост закупки нужен, чтобы скидка и отсрочка не ухудшили результат.</x:v>
      </x:c>
      <x:c r="E5" s="83" t="str">
        <x:v>Создан</x:v>
      </x:c>
    </x:row>
    <x:row r="6" ht="15" hidden="0" customHeight="1">
      <x:c r="A6" s="83" t="n">
        <x:v>2</x:v>
      </x:c>
      <x:c r="B6" s="83" t="str">
        <x:v>Коммерческие условия</x:v>
      </x:c>
      <x:c r="C6" s="83" t="str">
        <x:v>Минимальный объем для спецусловий</x:v>
      </x:c>
      <x:c r="D6" s="83" t="str">
        <x:v>При каком объеме можно дать цену, бонус, отсрочку или индивидуальные условия.</x:v>
      </x:c>
      <x:c r="E6" s="83" t="str">
        <x:v>Создан</x:v>
      </x:c>
    </x:row>
    <x:row r="7" ht="15" hidden="0" customHeight="1">
      <x:c r="A7" s="83" t="n">
        <x:v>3</x:v>
      </x:c>
      <x:c r="B7" s="83" t="str">
        <x:v>Коммерческие условия</x:v>
      </x:c>
      <x:c r="C7" s="83" t="str">
        <x:v>Цена сделки после всех условий</x:v>
      </x:c>
      <x:c r="D7" s="83" t="str">
        <x:v>Реальную прибыльность клиента после скидок, бонусов, логистики и отсрочки.</x:v>
      </x:c>
      <x:c r="E7" s="83" t="str">
        <x:v>Создан</x:v>
      </x:c>
    </x:row>
    <x:row r="8" ht="15" hidden="0" customHeight="1">
      <x:c r="A8" s="83" t="n">
        <x:v>4</x:v>
      </x:c>
      <x:c r="B8" s="83" t="str">
        <x:v>Маркетинг и каналы</x:v>
      </x:c>
      <x:c r="C8" s="83" t="str">
        <x:v>Рекламный бюджет и ROMI / возврат маркетинговых инвестиций</x:v>
      </x:c>
      <x:c r="D8" s="83" t="str">
        <x:v>Какой объем продаж нужен, чтобы рекламный бюджет окупился.</x:v>
      </x:c>
      <x:c r="E8" s="83" t="str">
        <x:v>Создан</x:v>
      </x:c>
    </x:row>
    <x:row r="9" ht="15" hidden="0" customHeight="1">
      <x:c r="A9" s="83" t="n">
        <x:v>5</x:v>
      </x:c>
      <x:c r="B9" s="83" t="str">
        <x:v>Маркетинг и каналы</x:v>
      </x:c>
      <x:c r="C9" s="83" t="str">
        <x:v>Промо-акция без потери прибыли</x:v>
      </x:c>
      <x:c r="D9" s="83" t="str">
        <x:v>Какой рост продаж должен компенсировать скидку, промо и дополнительные расходы.</x:v>
      </x:c>
      <x:c r="E9" s="83" t="str">
        <x:v>Создан</x:v>
      </x:c>
    </x:row>
    <x:row r="10" ht="15" hidden="0" customHeight="1">
      <x:c r="A10" s="83" t="n">
        <x:v>6</x:v>
      </x:c>
      <x:c r="B10" s="83" t="str">
        <x:v>Маркетинг и каналы</x:v>
      </x:c>
      <x:c r="C10" s="83" t="str">
        <x:v>Канал продаж: выгодно или нет</x:v>
      </x:c>
      <x:c r="D10" s="83" t="str">
        <x:v>Чистый результат канала после комиссии, логистики, возвратов и налогового контура.</x:v>
      </x:c>
      <x:c r="E10" s="83" t="str">
        <x:v>Создан</x:v>
      </x:c>
    </x:row>
    <x:row r="11" ht="15" hidden="0" customHeight="1">
      <x:c r="A11" s="83" t="n">
        <x:v>7</x:v>
      </x:c>
      <x:c r="B11" s="83" t="str">
        <x:v>Маркетплейсы</x:v>
      </x:c>
      <x:c r="C11" s="83" t="str">
        <x:v>Маркетплейс: цена, комиссия, логистика</x:v>
      </x:c>
      <x:c r="D11" s="83" t="str">
        <x:v>Реальную маржу SKU / товарной позиции на маркетплейсе.</x:v>
      </x:c>
      <x:c r="E11" s="83" t="str">
        <x:v>Создан</x:v>
      </x:c>
    </x:row>
    <x:row r="12" ht="15" hidden="0" customHeight="1">
      <x:c r="A12" s="83" t="n">
        <x:v>8</x:v>
      </x:c>
      <x:c r="B12" s="83" t="str">
        <x:v>Маркетплейсы</x:v>
      </x:c>
      <x:c r="C12" s="83" t="str">
        <x:v>Участие в акции маркетплейса</x:v>
      </x:c>
      <x:c r="D12" s="83" t="str">
        <x:v>Можно ли входить в акцию и какой рост продаж нужен для сохранения результата.</x:v>
      </x:c>
      <x:c r="E12" s="83" t="str">
        <x:v>Создан</x:v>
      </x:c>
    </x:row>
    <x:row r="13" ht="15" hidden="0" customHeight="1">
      <x:c r="A13" s="83" t="n">
        <x:v>9</x:v>
      </x:c>
      <x:c r="B13" s="83" t="str">
        <x:v>Ассортимент и продукт</x:v>
      </x:c>
      <x:c r="C13" s="83" t="str">
        <x:v>SKU: оставить, поднять цену или убрать</x:v>
      </x:c>
      <x:c r="D13" s="83" t="str">
        <x:v>Какие товарные позиции создают результат, а какие съедают деньги.</x:v>
      </x:c>
      <x:c r="E13" s="83" t="str">
        <x:v>Создан</x:v>
      </x:c>
    </x:row>
    <x:row r="14" ht="15" hidden="0" customHeight="1">
      <x:c r="A14" s="83" t="n">
        <x:v>10</x:v>
      </x:c>
      <x:c r="B14" s="83" t="str">
        <x:v>Ассортимент и продукт</x:v>
      </x:c>
      <x:c r="C14" s="83" t="str">
        <x:v>Новый продукт: точка допустимого запуска</x:v>
      </x:c>
      <x:c r="D14" s="83" t="str">
        <x:v>Минимальный объем, цена и маржа для запуска продукта.</x:v>
      </x:c>
      <x:c r="E14" s="83" t="str">
        <x:v>Создан</x:v>
      </x:c>
    </x:row>
    <x:row r="15" ht="15" hidden="0" customHeight="1">
      <x:c r="A15" s="86" t="n">
        <x:v>11</x:v>
      </x:c>
      <x:c r="B15" s="86" t="str">
        <x:v>Операции и логистика</x:v>
      </x:c>
      <x:c r="C15" s="86" t="str">
        <x:v>Запас и оборачиваемость</x:v>
      </x:c>
      <x:c r="D15" s="86" t="str">
        <x:v>Сколько денег замораживает запас и где начинается лишняя складская нагрузка.</x:v>
      </x:c>
      <x:c r="E15" s="86" t="str">
        <x:v>Текущий файл</x:v>
      </x:c>
    </x:row>
    <x:row r="16" ht="15" hidden="0" customHeight="1">
      <x:c r="A16" s="83" t="n">
        <x:v>12</x:v>
      </x:c>
      <x:c r="B16" s="83" t="str">
        <x:v>Операции и логистика</x:v>
      </x:c>
      <x:c r="C16" s="83" t="str">
        <x:v>Производственная партия</x:v>
      </x:c>
      <x:c r="D16" s="83" t="str">
        <x:v>При каком объеме партия покрывает себестоимость, брак, логистику и операционные ограничения.</x:v>
      </x:c>
      <x:c r="E16" s="83" t="str">
        <x:v>Создан</x:v>
      </x:c>
    </x:row>
    <x:row r="17" ht="15" hidden="0" customHeight="1">
      <x:c r="A17" s="83" t="n">
        <x:v>13</x:v>
      </x:c>
      <x:c r="B17" s="83" t="str">
        <x:v>Операции и логистика</x:v>
      </x:c>
      <x:c r="C17" s="83" t="str">
        <x:v>SLA / уровень сервиса и цена выполнения</x:v>
      </x:c>
      <x:c r="D17" s="83" t="str">
        <x:v>Сколько стоит повышенный уровень сервиса и можно ли его обещать клиенту.</x:v>
      </x:c>
      <x:c r="E17" s="83" t="str">
        <x:v>Создан</x:v>
      </x:c>
    </x:row>
    <x:row r="18" ht="15" hidden="0" customHeight="1">
      <x:c r="A18" s="83" t="n">
        <x:v>14</x:v>
      </x:c>
      <x:c r="B18" s="83" t="str">
        <x:v>Финансы и деньги</x:v>
      </x:c>
      <x:c r="C18" s="83" t="str">
        <x:v>Денежный разрыв по решению</x:v>
      </x:c>
      <x:c r="D18" s="83" t="str">
        <x:v>Сколько денег нужно до поступления оплаты и выдерживает ли компания кассовый контур.</x:v>
      </x:c>
      <x:c r="E18" s="83" t="str">
        <x:v>Создан</x:v>
      </x:c>
    </x:row>
    <x:row r="19" ht="15" hidden="0" customHeight="1">
      <x:c r="A19" s="83" t="n">
        <x:v>15</x:v>
      </x:c>
      <x:c r="B19" s="83" t="str">
        <x:v>Финансы и деньги</x:v>
      </x:c>
      <x:c r="C19" s="83" t="str">
        <x:v>НДС и налоговый контур при ОСНО</x:v>
      </x:c>
      <x:c r="D19" s="83" t="str">
        <x:v>Как налоговый режим влияет на чистый результат и денежный поток.</x:v>
      </x:c>
      <x:c r="E19" s="83" t="str">
        <x:v>Создан</x:v>
      </x:c>
    </x:row>
    <x:row r="20" ht="15" hidden="0" customHeight="1">
      <x:c r="A20" s="83" t="n">
        <x:v>16</x:v>
      </x:c>
      <x:c r="B20" s="83" t="str">
        <x:v>Финансы и деньги</x:v>
      </x:c>
      <x:c r="C20" s="83" t="str">
        <x:v>ROI / возврат инвестиций и срок окупаемости</x:v>
      </x:c>
      <x:c r="D20" s="83" t="str">
        <x:v>Окупается ли вложение и при каких сценариях оно становится недопустимым.</x:v>
      </x:c>
      <x:c r="E20" s="83" t="str">
        <x:v>Создан</x:v>
      </x:c>
    </x:row>
    <x:row r="21" ht="15" hidden="0" customHeight="1">
      <x:c r="A21" s="83" t="n">
        <x:v>17</x:v>
      </x:c>
      <x:c r="B21" s="83" t="str">
        <x:v>Специальные решения</x:v>
      </x:c>
      <x:c r="C21" s="83" t="str">
        <x:v>TCO / совокупная стоимость владения проекта</x:v>
      </x:c>
      <x:c r="D21" s="83" t="str">
        <x:v>Полную стоимость решения: покупка, внедрение, поддержка, люди, риски.</x:v>
      </x:c>
      <x:c r="E21" s="83" t="str">
        <x:v>Создан</x:v>
      </x:c>
    </x:row>
    <x:row r="22" ht="15" hidden="0" customHeight="1">
      <x:c r="A22" s="83" t="n">
        <x:v>18</x:v>
      </x:c>
      <x:c r="B22" s="83" t="str">
        <x:v>Специальные решения</x:v>
      </x:c>
      <x:c r="C22" s="83" t="str">
        <x:v>Найм / подрядчик / автоматизация</x:v>
      </x:c>
      <x:c r="D22" s="83" t="str">
        <x:v>Что выгоднее: человек, подрядчик, автоматизация или отказ от инициативы.</x:v>
      </x:c>
      <x:c r="E22" s="83" t="str">
        <x:v>Создан</x:v>
      </x:c>
    </x:row>
    <x:row r="23"/>
    <x:row r="24" ht="15" hidden="0" customHeight="1">
      <x:c r="A24"/>
      <x:c r="B24"/>
      <x:c r="C24"/>
      <x:c r="D24"/>
      <x:c r="E24"/>
    </x:row>
    <x:row r="25" ht="15" hidden="0" customHeight="1">
      <x:c r="A25"/>
      <x:c r="B25"/>
      <x:c r="C25"/>
      <x:c r="D25"/>
      <x:c r="E25"/>
    </x:row>
    <x:row r="26" ht="15" hidden="0" customHeight="1">
      <x:c r="A26"/>
      <x:c r="B26"/>
      <x:c r="C26"/>
      <x:c r="D26"/>
      <x:c r="E26"/>
    </x:row>
  </x:sheetData>
  <x:mergeCells>
    <x:mergeCell ref="A1:E1"/>
    <x:mergeCell ref="A2:E2"/>
    <x:mergeCell ref="A24:E24"/>
    <x:mergeCell ref="A25:E25"/>
    <x:mergeCell ref="A26:E26"/>
  </x:mergeCells>
  <x:pageMargins left="0.7" right="0.7" top="0.75" bottom="0.75" header="0.3" footer="0.3"/>
</x:worksheet>
</file>