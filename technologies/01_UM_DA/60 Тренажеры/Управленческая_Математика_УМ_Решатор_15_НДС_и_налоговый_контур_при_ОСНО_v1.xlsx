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191254ac6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Каталог" sheetId="1" r:id="Raa08f1a511814383"/>
    <x:sheet xmlns:r="http://schemas.openxmlformats.org/officeDocument/2006/relationships" name="01 Ввод" sheetId="2" r:id="Rf13b65d24685422e"/>
    <x:sheet xmlns:r="http://schemas.openxmlformats.org/officeDocument/2006/relationships" name="02 Расчет" sheetId="3" r:id="Ree00c0e758044317"/>
    <x:sheet xmlns:r="http://schemas.openxmlformats.org/officeDocument/2006/relationships" name="03 Сценарии" sheetId="4" r:id="R8d52111a4b554895"/>
    <x:sheet xmlns:r="http://schemas.openxmlformats.org/officeDocument/2006/relationships" name="04 Контуры" sheetId="5" r:id="Rb150ba589a5c4aad"/>
    <x:sheet xmlns:r="http://schemas.openxmlformats.org/officeDocument/2006/relationships" name="05 Статус" sheetId="6" r:id="Rce9833441c1942e3"/>
    <x:sheet xmlns:r="http://schemas.openxmlformats.org/officeDocument/2006/relationships" name="06 Ответ" sheetId="7" r:id="Reb89a8b6c3a54229"/>
    <x:sheet xmlns:r="http://schemas.openxmlformats.org/officeDocument/2006/relationships" name="07 Контроль" sheetId="8" r:id="Rf08d19a4cfc94d44"/>
    <x:sheet xmlns:r="http://schemas.openxmlformats.org/officeDocument/2006/relationships" name="08 Проверка" sheetId="9" r:id="R3081f7d6fb8d4d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8A2D2D"/>
      <x:name val="Carlito"/>
    </x:font>
    <x:font>
      <x:b/>
      <x:sz val="11"/>
      <x:color rgb="FF8A2D2D"/>
      <x:name val="Carlito"/>
    </x:font>
    <x:font>
      <x:sz val="11"/>
      <x:color rgb="FF11182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33d0e836746ac" /><Relationship Type="http://schemas.openxmlformats.org/officeDocument/2006/relationships/theme" Target="/xl/theme/theme1.xml" Id="R71fc22d3ec3a4cde" /><Relationship Type="http://schemas.openxmlformats.org/officeDocument/2006/relationships/sharedStrings" Target="/xl/sharedStrings.xml" Id="R9db43f3898784340" /><Relationship Type="http://schemas.openxmlformats.org/officeDocument/2006/relationships/worksheet" Target="/xl/worksheets/sheet1.xml" Id="Raa08f1a511814383" /><Relationship Type="http://schemas.openxmlformats.org/officeDocument/2006/relationships/worksheet" Target="/xl/worksheets/sheet2.xml" Id="Rf13b65d24685422e" /><Relationship Type="http://schemas.openxmlformats.org/officeDocument/2006/relationships/worksheet" Target="/xl/worksheets/sheet3.xml" Id="Ree00c0e758044317" /><Relationship Type="http://schemas.openxmlformats.org/officeDocument/2006/relationships/worksheet" Target="/xl/worksheets/sheet4.xml" Id="R8d52111a4b554895" /><Relationship Type="http://schemas.openxmlformats.org/officeDocument/2006/relationships/worksheet" Target="/xl/worksheets/sheet5.xml" Id="Rb150ba589a5c4aad" /><Relationship Type="http://schemas.openxmlformats.org/officeDocument/2006/relationships/worksheet" Target="/xl/worksheets/sheet6.xml" Id="Rce9833441c1942e3" /><Relationship Type="http://schemas.openxmlformats.org/officeDocument/2006/relationships/worksheet" Target="/xl/worksheets/sheet7.xml" Id="Reb89a8b6c3a54229" /><Relationship Type="http://schemas.openxmlformats.org/officeDocument/2006/relationships/worksheet" Target="/xl/worksheets/sheet8.xml" Id="Rf08d19a4cfc94d44" /><Relationship Type="http://schemas.openxmlformats.org/officeDocument/2006/relationships/worksheet" Target="/xl/worksheets/sheet9.xml" Id="R3081f7d6fb8d4d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35" t="str">
        <x:v>00 Каталог решаторов УМ</x:v>
      </x:c>
      <x:c r="B1" s="35" t="str">
        <x:v>00 Каталог решаторов УМ</x:v>
      </x:c>
      <x:c r="C1" s="35" t="str">
        <x:v>00 Каталог решаторов УМ</x:v>
      </x:c>
      <x:c r="D1" s="35" t="str">
        <x:v>00 Каталог решаторов УМ</x:v>
      </x:c>
      <x:c r="E1" s="35" t="str">
        <x:v>00 Каталог решаторов УМ</x:v>
      </x:c>
    </x:row>
    <x:row r="2" ht="15" hidden="0" customHeight="1">
      <x:c r="A2" s="37" t="str">
        <x:v>Навигационный лист: полный каталог типовых решаторов УМ / Управленческой математики и статус текущего файла.</x:v>
      </x:c>
      <x:c r="B2" s="37" t="str">
        <x:v>Навигационный лист: полный каталог типовых решаторов УМ / Управленческой математики и статус текущего файла.</x:v>
      </x:c>
      <x:c r="C2" s="37" t="str">
        <x:v>Навигационный лист: полный каталог типовых решаторов УМ / Управленческой математики и статус текущего файла.</x:v>
      </x:c>
      <x:c r="D2" s="37" t="str">
        <x:v>Навигационный лист: полный каталог типовых решаторов УМ / Управленческой математики и статус текущего файла.</x:v>
      </x:c>
      <x:c r="E2" s="37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42" t="str">
        <x:v>№</x:v>
      </x:c>
      <x:c r="B4" s="42" t="str">
        <x:v>Группа задач</x:v>
      </x:c>
      <x:c r="C4" s="42" t="str">
        <x:v>Название решатора</x:v>
      </x:c>
      <x:c r="D4" s="42" t="str">
        <x:v>Что показывает</x:v>
      </x:c>
      <x:c r="E4" s="42" t="str">
        <x:v>Статус</x:v>
      </x:c>
    </x:row>
    <x:row r="5" ht="15" hidden="0" customHeight="1">
      <x:c r="A5" s="43" t="n">
        <x:v>1</x:v>
      </x:c>
      <x:c r="B5" s="43" t="str">
        <x:v>Коммерческие условия</x:v>
      </x:c>
      <x:c r="C5" s="43" t="str">
        <x:v>Скидка и отсрочка клиента</x:v>
      </x:c>
      <x:c r="D5" s="43" t="str">
        <x:v>Какой рост закупки нужен, чтобы скидка и отсрочка не ухудшили результат.</x:v>
      </x:c>
      <x:c r="E5" s="43" t="str">
        <x:v>Создан</x:v>
      </x:c>
    </x:row>
    <x:row r="6" ht="15" hidden="0" customHeight="1">
      <x:c r="A6" s="43" t="n">
        <x:v>2</x:v>
      </x:c>
      <x:c r="B6" s="43" t="str">
        <x:v>Коммерческие условия</x:v>
      </x:c>
      <x:c r="C6" s="43" t="str">
        <x:v>Минимальный объем для спецусловий</x:v>
      </x:c>
      <x:c r="D6" s="43" t="str">
        <x:v>При каком объеме можно дать цену, бонус, отсрочку или индивидуальные условия.</x:v>
      </x:c>
      <x:c r="E6" s="43" t="str">
        <x:v>Создан</x:v>
      </x:c>
    </x:row>
    <x:row r="7" ht="15" hidden="0" customHeight="1">
      <x:c r="A7" s="43" t="n">
        <x:v>3</x:v>
      </x:c>
      <x:c r="B7" s="43" t="str">
        <x:v>Коммерческие условия</x:v>
      </x:c>
      <x:c r="C7" s="43" t="str">
        <x:v>Цена сделки после всех условий</x:v>
      </x:c>
      <x:c r="D7" s="43" t="str">
        <x:v>Реальную прибыльность клиента после скидок, бонусов, логистики и отсрочки.</x:v>
      </x:c>
      <x:c r="E7" s="43" t="str">
        <x:v>Создан</x:v>
      </x:c>
    </x:row>
    <x:row r="8" ht="15" hidden="0" customHeight="1">
      <x:c r="A8" s="43" t="n">
        <x:v>4</x:v>
      </x:c>
      <x:c r="B8" s="43" t="str">
        <x:v>Маркетинг и каналы</x:v>
      </x:c>
      <x:c r="C8" s="43" t="str">
        <x:v>Рекламный бюджет и ROMI / возврат маркетинговых инвестиций</x:v>
      </x:c>
      <x:c r="D8" s="43" t="str">
        <x:v>Какой объем продаж нужен, чтобы рекламный бюджет окупился.</x:v>
      </x:c>
      <x:c r="E8" s="43" t="str">
        <x:v>Создан</x:v>
      </x:c>
    </x:row>
    <x:row r="9" ht="15" hidden="0" customHeight="1">
      <x:c r="A9" s="43" t="n">
        <x:v>5</x:v>
      </x:c>
      <x:c r="B9" s="43" t="str">
        <x:v>Маркетинг и каналы</x:v>
      </x:c>
      <x:c r="C9" s="43" t="str">
        <x:v>Промо-акция без потери прибыли</x:v>
      </x:c>
      <x:c r="D9" s="43" t="str">
        <x:v>Какой рост продаж должен компенсировать скидку, промо и дополнительные расходы.</x:v>
      </x:c>
      <x:c r="E9" s="43" t="str">
        <x:v>Создан</x:v>
      </x:c>
    </x:row>
    <x:row r="10" ht="15" hidden="0" customHeight="1">
      <x:c r="A10" s="43" t="n">
        <x:v>6</x:v>
      </x:c>
      <x:c r="B10" s="43" t="str">
        <x:v>Маркетинг и каналы</x:v>
      </x:c>
      <x:c r="C10" s="43" t="str">
        <x:v>Канал продаж: выгодно или нет</x:v>
      </x:c>
      <x:c r="D10" s="43" t="str">
        <x:v>Чистый результат канала после комиссии, логистики, возвратов и налогового контура.</x:v>
      </x:c>
      <x:c r="E10" s="43" t="str">
        <x:v>Создан</x:v>
      </x:c>
    </x:row>
    <x:row r="11" ht="15" hidden="0" customHeight="1">
      <x:c r="A11" s="43" t="n">
        <x:v>7</x:v>
      </x:c>
      <x:c r="B11" s="43" t="str">
        <x:v>Маркетплейсы</x:v>
      </x:c>
      <x:c r="C11" s="43" t="str">
        <x:v>Маркетплейс: цена, комиссия, логистика</x:v>
      </x:c>
      <x:c r="D11" s="43" t="str">
        <x:v>Реальную маржу SKU / товарной позиции на маркетплейсе.</x:v>
      </x:c>
      <x:c r="E11" s="43" t="str">
        <x:v>Создан</x:v>
      </x:c>
    </x:row>
    <x:row r="12" ht="15" hidden="0" customHeight="1">
      <x:c r="A12" s="43" t="n">
        <x:v>8</x:v>
      </x:c>
      <x:c r="B12" s="43" t="str">
        <x:v>Маркетплейсы</x:v>
      </x:c>
      <x:c r="C12" s="43" t="str">
        <x:v>Участие в акции маркетплейса</x:v>
      </x:c>
      <x:c r="D12" s="43" t="str">
        <x:v>Можно ли входить в акцию и какой рост продаж нужен для сохранения результата.</x:v>
      </x:c>
      <x:c r="E12" s="43" t="str">
        <x:v>Создан</x:v>
      </x:c>
    </x:row>
    <x:row r="13" ht="15" hidden="0" customHeight="1">
      <x:c r="A13" s="43" t="n">
        <x:v>9</x:v>
      </x:c>
      <x:c r="B13" s="43" t="str">
        <x:v>Ассортимент и продукт</x:v>
      </x:c>
      <x:c r="C13" s="43" t="str">
        <x:v>SKU: оставить, поднять цену или убрать</x:v>
      </x:c>
      <x:c r="D13" s="43" t="str">
        <x:v>Какие товарные позиции создают результат, а какие съедают деньги.</x:v>
      </x:c>
      <x:c r="E13" s="43" t="str">
        <x:v>Создан</x:v>
      </x:c>
    </x:row>
    <x:row r="14" ht="15" hidden="0" customHeight="1">
      <x:c r="A14" s="43" t="n">
        <x:v>10</x:v>
      </x:c>
      <x:c r="B14" s="43" t="str">
        <x:v>Ассортимент и продукт</x:v>
      </x:c>
      <x:c r="C14" s="43" t="str">
        <x:v>Новый продукт: точка допустимого запуска</x:v>
      </x:c>
      <x:c r="D14" s="43" t="str">
        <x:v>Минимальный объем, цена и маржа для запуска продукта.</x:v>
      </x:c>
      <x:c r="E14" s="43" t="str">
        <x:v>Создан</x:v>
      </x:c>
    </x:row>
    <x:row r="15" ht="15" hidden="0" customHeight="1">
      <x:c r="A15" s="43" t="n">
        <x:v>11</x:v>
      </x:c>
      <x:c r="B15" s="43" t="str">
        <x:v>Операции и логистика</x:v>
      </x:c>
      <x:c r="C15" s="43" t="str">
        <x:v>Запас и оборачиваемость</x:v>
      </x:c>
      <x:c r="D15" s="43" t="str">
        <x:v>Сколько денег замораживает запас и где начинается лишняя складская нагрузка.</x:v>
      </x:c>
      <x:c r="E15" s="43" t="str">
        <x:v>Создан</x:v>
      </x:c>
    </x:row>
    <x:row r="16" ht="15" hidden="0" customHeight="1">
      <x:c r="A16" s="43" t="n">
        <x:v>12</x:v>
      </x:c>
      <x:c r="B16" s="43" t="str">
        <x:v>Операции и логистика</x:v>
      </x:c>
      <x:c r="C16" s="43" t="str">
        <x:v>Производственная партия</x:v>
      </x:c>
      <x:c r="D16" s="43" t="str">
        <x:v>При каком объеме партия покрывает себестоимость, брак, логистику и операционные ограничения.</x:v>
      </x:c>
      <x:c r="E16" s="43" t="str">
        <x:v>Создан</x:v>
      </x:c>
    </x:row>
    <x:row r="17" ht="15" hidden="0" customHeight="1">
      <x:c r="A17" s="43" t="n">
        <x:v>13</x:v>
      </x:c>
      <x:c r="B17" s="43" t="str">
        <x:v>Операции и логистика</x:v>
      </x:c>
      <x:c r="C17" s="43" t="str">
        <x:v>SLA / уровень сервиса и цена выполнения</x:v>
      </x:c>
      <x:c r="D17" s="43" t="str">
        <x:v>Сколько стоит повышенный уровень сервиса и можно ли его обещать клиенту.</x:v>
      </x:c>
      <x:c r="E17" s="43" t="str">
        <x:v>Создан</x:v>
      </x:c>
    </x:row>
    <x:row r="18" ht="15" hidden="0" customHeight="1">
      <x:c r="A18" s="43" t="n">
        <x:v>14</x:v>
      </x:c>
      <x:c r="B18" s="43" t="str">
        <x:v>Финансы и деньги</x:v>
      </x:c>
      <x:c r="C18" s="43" t="str">
        <x:v>Денежный разрыв по решению</x:v>
      </x:c>
      <x:c r="D18" s="43" t="str">
        <x:v>Сколько денег нужно до поступления оплаты и выдерживает ли компания кассовый контур.</x:v>
      </x:c>
      <x:c r="E18" s="43" t="str">
        <x:v>Создан</x:v>
      </x:c>
    </x:row>
    <x:row r="19" ht="15" hidden="0" customHeight="1">
      <x:c r="A19" s="46" t="n">
        <x:v>15</x:v>
      </x:c>
      <x:c r="B19" s="46" t="str">
        <x:v>Финансы и деньги</x:v>
      </x:c>
      <x:c r="C19" s="46" t="str">
        <x:v>НДС и налоговый контур при ОСНО</x:v>
      </x:c>
      <x:c r="D19" s="46" t="str">
        <x:v>Как налоговый режим влияет на чистый результат и денежный поток.</x:v>
      </x:c>
      <x:c r="E19" s="46" t="str">
        <x:v>Текущий файл</x:v>
      </x:c>
    </x:row>
    <x:row r="20" ht="15" hidden="0" customHeight="1">
      <x:c r="A20" s="43" t="n">
        <x:v>16</x:v>
      </x:c>
      <x:c r="B20" s="43" t="str">
        <x:v>Финансы и деньги</x:v>
      </x:c>
      <x:c r="C20" s="43" t="str">
        <x:v>ROI / возврат инвестиций и срок окупаемости</x:v>
      </x:c>
      <x:c r="D20" s="43" t="str">
        <x:v>Окупается ли вложение и при каких сценариях оно становится недопустимым.</x:v>
      </x:c>
      <x:c r="E20" s="43" t="str">
        <x:v>Создан</x:v>
      </x:c>
    </x:row>
    <x:row r="21" ht="15" hidden="0" customHeight="1">
      <x:c r="A21" s="43" t="n">
        <x:v>17</x:v>
      </x:c>
      <x:c r="B21" s="43" t="str">
        <x:v>Специальные решения</x:v>
      </x:c>
      <x:c r="C21" s="43" t="str">
        <x:v>TCO / совокупная стоимость владения проекта</x:v>
      </x:c>
      <x:c r="D21" s="43" t="str">
        <x:v>Полную стоимость решения: покупка, внедрение, поддержка, люди, риски.</x:v>
      </x:c>
      <x:c r="E21" s="43" t="str">
        <x:v>Создан</x:v>
      </x:c>
    </x:row>
    <x:row r="22" ht="15" hidden="0" customHeight="1">
      <x:c r="A22" s="43" t="n">
        <x:v>18</x:v>
      </x:c>
      <x:c r="B22" s="43" t="str">
        <x:v>Специальные решения</x:v>
      </x:c>
      <x:c r="C22" s="43" t="str">
        <x:v>Найм / подрядчик / автоматизация</x:v>
      </x:c>
      <x:c r="D22" s="43" t="str">
        <x:v>Что выгоднее: человек, подрядчик, автоматизация или отказ от инициативы.</x:v>
      </x:c>
      <x:c r="E22" s="43" t="str">
        <x:v>Создан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0" hidden="0" customWidth="1"/>
    <x:col min="4" max="4" width="14" hidden="0" customWidth="1"/>
    <x:col min="5" max="5" width="64" hidden="0" customWidth="1"/>
    <x:col min="6" max="6" width="16" hidden="0" customWidth="1"/>
  </x:cols>
  <x:sheetData>
    <x:row r="1" ht="18" hidden="0" customHeight="1">
      <x:c r="A1" s="4" t="str">
        <x:v>УМ решатор: НДС и налоговый контур при ОСНО</x:v>
      </x:c>
      <x:c r="B1" s="4" t="str">
        <x:v>УМ решатор: НДС и налоговый контур при ОСНО</x:v>
      </x:c>
      <x:c r="C1" s="4" t="str">
        <x:v>УМ решатор: НДС и налоговый контур при ОСНО</x:v>
      </x:c>
      <x:c r="D1" s="4" t="str">
        <x:v>УМ решатор: НДС и налоговый контур при ОСНО</x:v>
      </x:c>
      <x:c r="E1" s="4" t="str">
        <x:v>УМ решатор: НДС и налоговый контур при ОСНО</x:v>
      </x:c>
      <x:c r="F1" s="4" t="str">
        <x:v>УМ решатор: НДС и налоговый контур при ОСНО</x:v>
      </x:c>
    </x:row>
    <x:row r="2" ht="15" hidden="0" customHeight="1">
      <x:c r="A2" s="6" t="str">
        <x:v>Показывает влияние налогового контура, включая НДС при ОСНО, на чистый результат и денежный поток.</x:v>
      </x:c>
      <x:c r="B2" s="6" t="str">
        <x:v>Показывает влияние налогового контура, включая НДС при ОСНО, на чистый результат и денежный поток.</x:v>
      </x:c>
      <x:c r="C2" s="6" t="str">
        <x:v>Показывает влияние налогового контура, включая НДС при ОСНО, на чистый результат и денежный поток.</x:v>
      </x:c>
      <x:c r="D2" s="6" t="str">
        <x:v>Показывает влияние налогового контура, включая НДС при ОСНО, на чистый результат и денежный поток.</x:v>
      </x:c>
      <x:c r="E2" s="6" t="str">
        <x:v>Показывает влияние налогового контура, включая НДС при ОСНО, на чистый результат и денежный поток.</x:v>
      </x:c>
      <x:c r="F2" s="6" t="str">
        <x:v>Показывает влияние налогового контура, включая НДС при ОСНО, на чистый результат и денежный поток.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Комментарий</x:v>
      </x:c>
      <x:c r="F4" s="11" t="str">
        <x:v>Статус</x:v>
      </x:c>
    </x:row>
    <x:row r="5" ht="15" hidden="0" customHeight="1">
      <x:c r="A5" s="13" t="str">
        <x:v>Продажи</x:v>
      </x:c>
      <x:c r="B5" s="13" t="str">
        <x:v>Цена договора с НДС</x:v>
      </x:c>
      <x:c r="C5" s="19" t="n">
        <x:v>12200000</x:v>
      </x:c>
      <x:c r="D5" s="13" t="str">
        <x:v>руб.</x:v>
      </x:c>
      <x:c r="E5" s="13" t="str">
        <x:v>Сумма счета клиенту.</x:v>
      </x:c>
      <x:c r="F5" s="13" t="str">
        <x:v>Ввод</x:v>
      </x:c>
    </x:row>
    <x:row r="6" ht="15" hidden="0" customHeight="1">
      <x:c r="A6" s="13" t="str">
        <x:v>Покупки</x:v>
      </x:c>
      <x:c r="B6" s="13" t="str">
        <x:v>Себестоимость с НДС</x:v>
      </x:c>
      <x:c r="C6" s="19" t="n">
        <x:v>7320000</x:v>
      </x:c>
      <x:c r="D6" s="13" t="str">
        <x:v>руб.</x:v>
      </x:c>
      <x:c r="E6" s="13" t="str">
        <x:v>Покупки с подтвержденным входящим НДС.</x:v>
      </x:c>
      <x:c r="F6" s="13" t="str">
        <x:v>Ввод</x:v>
      </x:c>
    </x:row>
    <x:row r="7" ht="15" hidden="0" customHeight="1">
      <x:c r="A7" s="13" t="str">
        <x:v>Расходы</x:v>
      </x:c>
      <x:c r="B7" s="13" t="str">
        <x:v>Прочие расходы без НДС</x:v>
      </x:c>
      <x:c r="C7" s="19" t="n">
        <x:v>800000</x:v>
      </x:c>
      <x:c r="D7" s="13" t="str">
        <x:v>руб.</x:v>
      </x:c>
      <x:c r="E7" s="13" t="str">
        <x:v>Расходы без входящего НДС.</x:v>
      </x:c>
      <x:c r="F7" s="13" t="str">
        <x:v>Ввод</x:v>
      </x:c>
    </x:row>
    <x:row r="8" ht="15" hidden="0" customHeight="1">
      <x:c r="A8" s="13" t="str">
        <x:v>Налоги</x:v>
      </x:c>
      <x:c r="B8" s="13" t="str">
        <x:v>Ставка НДС</x:v>
      </x:c>
      <x:c r="C8" s="20" t="n">
        <x:v>0.22</x:v>
      </x:c>
      <x:c r="D8" s="13" t="str">
        <x:v>%</x:v>
      </x:c>
      <x:c r="E8" s="13" t="str">
        <x:v>НДС при ОСНО.</x:v>
      </x:c>
      <x:c r="F8" s="13" t="str">
        <x:v>Ввод</x:v>
      </x:c>
    </x:row>
    <x:row r="9" ht="15" hidden="0" customHeight="1">
      <x:c r="A9" s="13" t="str">
        <x:v>Налоги</x:v>
      </x:c>
      <x:c r="B9" s="13" t="str">
        <x:v>Ставка налога на прибыль</x:v>
      </x:c>
      <x:c r="C9" s="20" t="n">
        <x:v>0.25</x:v>
      </x:c>
      <x:c r="D9" s="13" t="str">
        <x:v>%</x:v>
      </x:c>
      <x:c r="E9" s="13" t="str">
        <x:v>Расчетное допущение.</x:v>
      </x:c>
      <x:c r="F9" s="13" t="str">
        <x:v>Ввод</x:v>
      </x:c>
    </x:row>
    <x:row r="10" ht="15" hidden="0" customHeight="1">
      <x:c r="A10" s="13" t="str">
        <x:v>Оплата</x:v>
      </x:c>
      <x:c r="B10" s="13" t="str">
        <x:v>Отсрочка клиента</x:v>
      </x:c>
      <x:c r="C10" s="19" t="n">
        <x:v>60</x:v>
      </x:c>
      <x:c r="D10" s="13" t="str">
        <x:v>дней</x:v>
      </x:c>
      <x:c r="E10" s="13" t="str">
        <x:v>Срок оплаты.</x:v>
      </x:c>
      <x:c r="F10" s="13" t="str">
        <x:v>Ввод</x:v>
      </x:c>
    </x:row>
    <x:row r="11" ht="15" hidden="0" customHeight="1">
      <x:c r="A11" s="13" t="str">
        <x:v>Оплата</x:v>
      </x:c>
      <x:c r="B11" s="13" t="str">
        <x:v>Отсрочка поставщику</x:v>
      </x:c>
      <x:c r="C11" s="19" t="n">
        <x:v>30</x:v>
      </x:c>
      <x:c r="D11" s="13" t="str">
        <x:v>дней</x:v>
      </x:c>
      <x:c r="E11" s="13" t="str">
        <x:v>Срок оплаты поставщику.</x:v>
      </x:c>
      <x:c r="F11" s="13" t="str">
        <x:v>Ввод</x:v>
      </x:c>
    </x:row>
    <x:row r="12" ht="15" hidden="0" customHeight="1">
      <x:c r="A12" s="13" t="str">
        <x:v>Деньги</x:v>
      </x:c>
      <x:c r="B12" s="13" t="str">
        <x:v>Стоимость денег годовая</x:v>
      </x:c>
      <x:c r="C12" s="20" t="n">
        <x:v>0.2</x:v>
      </x:c>
      <x:c r="D12" s="13" t="str">
        <x:v>%</x:v>
      </x:c>
      <x:c r="E12" s="13" t="str">
        <x:v>Цена финансирования разрыва.</x:v>
      </x:c>
      <x:c r="F12" s="13" t="str">
        <x:v>Ввод</x:v>
      </x:c>
    </x:row>
    <x:row r="13" ht="15" hidden="0" customHeight="1">
      <x:c r="A13" s="13" t="str">
        <x:v>Данные</x:v>
      </x:c>
      <x:c r="B13" s="13" t="str">
        <x:v>Входящий НДС подтвержден</x:v>
      </x:c>
      <x:c r="C13" s="18" t="str">
        <x:v>Да</x:v>
      </x:c>
      <x:c r="D13" s="13" t="str">
        <x:v>Да/Нет</x:v>
      </x:c>
      <x:c r="E13" s="13" t="str">
        <x:v>Документы поставщика.</x:v>
      </x:c>
      <x:c r="F13" s="13" t="str">
        <x:v>Ввод</x:v>
      </x:c>
    </x:row>
    <x:row r="14" ht="15" hidden="0" customHeight="1">
      <x:c r="A14" s="13" t="str">
        <x:v>Порог</x:v>
      </x:c>
      <x:c r="B14" s="13" t="str">
        <x:v>Минимальный чистый результат</x:v>
      </x:c>
      <x:c r="C14" s="19" t="n">
        <x:v>1500000</x:v>
      </x:c>
      <x:c r="D14" s="13" t="str">
        <x:v>руб.</x:v>
      </x:c>
      <x:c r="E14" s="13" t="str">
        <x:v>Порог решения.</x:v>
      </x:c>
      <x:c r="F14" s="13" t="str">
        <x:v>Ввод</x:v>
      </x:c>
    </x:row>
    <x:row r="15" ht="15" hidden="0" customHeight="1">
      <x:c r="A15" s="13" t="str">
        <x:v>Контроль</x:v>
      </x:c>
      <x:c r="B15" s="13" t="str">
        <x:v>Дата контроля</x:v>
      </x:c>
      <x:c r="C15" s="21" t="n">
        <x:v>46254</x:v>
      </x:c>
      <x:c r="D15" s="13" t="str">
        <x:v>дата</x:v>
      </x:c>
      <x:c r="E15" s="13" t="str">
        <x:v>Дата проверки оплаты и НДС.</x:v>
      </x:c>
      <x:c r="F15" s="13" t="str">
        <x:v>Ввод</x:v>
      </x:c>
    </x:row>
    <x:row r="16" ht="15" hidden="0" customHeight="1">
      <x:c r="A16" s="13" t="str">
        <x:v>Ответственный</x:v>
      </x:c>
      <x:c r="B16" s="13" t="str">
        <x:v>Финансовый директор</x:v>
      </x:c>
      <x:c r="C16" s="18" t="str">
        <x:v>Финансовый директор</x:v>
      </x:c>
      <x:c r="D16" s="13" t="str">
        <x:v>роль</x:v>
      </x:c>
      <x:c r="E16" s="13" t="str">
        <x:v>Владелец налогового контура.</x:v>
      </x:c>
      <x:c r="F16" s="13" t="str">
        <x:v>Ввод</x:v>
      </x:c>
    </x:row>
  </x:sheetData>
  <x:mergeCells>
    <x:mergeCell ref="A1:F1"/>
    <x:mergeCell ref="A2:F2"/>
  </x:mergeCells>
  <x:dataValidations count="1">
    <x:dataValidation type="list" sqref="C13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4" hidden="0" customWidth="1"/>
    <x:col min="3" max="3" width="22" hidden="0" customWidth="1"/>
    <x:col min="4" max="4" width="14" hidden="0" customWidth="1"/>
    <x:col min="5" max="5" width="66" hidden="0" customWidth="1"/>
  </x:cols>
  <x:sheetData>
    <x:row r="1" ht="18" hidden="0" customHeight="1">
      <x:c r="A1" s="4" t="str">
        <x:v>02 Расчет</x:v>
      </x:c>
      <x:c r="B1" s="4" t="str">
        <x:v>02 Расчет</x:v>
      </x:c>
      <x:c r="C1" s="4" t="str">
        <x:v>02 Расчет</x:v>
      </x:c>
      <x:c r="D1" s="4" t="str">
        <x:v>02 Расчет</x:v>
      </x:c>
      <x:c r="E1" s="4" t="str">
        <x:v>02 Расчет</x:v>
      </x:c>
    </x:row>
    <x:row r="2" ht="15" hidden="0" customHeight="1">
      <x:c r="A2" s="6" t="str">
        <x:v>Расчет переводит управленческий запрос в порог, сценарии и статус.</x:v>
      </x:c>
      <x:c r="B2" s="6" t="str">
        <x:v>Расчет переводит управленческий запрос в порог, сценарии и статус.</x:v>
      </x:c>
      <x:c r="C2" s="6" t="str">
        <x:v>Расчет переводит управленческий запрос в порог, сценарии и статус.</x:v>
      </x:c>
      <x:c r="D2" s="6" t="str">
        <x:v>Расчет переводит управленческий запрос в порог, сценарии и статус.</x:v>
      </x:c>
      <x:c r="E2" s="6" t="str">
        <x:v>Расчет переводит управленческий запрос в порог, сценарии и статус.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Формула / смысл</x:v>
      </x:c>
    </x:row>
    <x:row r="5" ht="15" hidden="0" customHeight="1">
      <x:c r="A5" s="13" t="str">
        <x:v>НДС</x:v>
      </x:c>
      <x:c r="B5" s="13" t="str">
        <x:v>Выручка без НДС</x:v>
      </x:c>
      <x:c r="C5" s="23" t="n">
        <x:f>'01 Ввод'!C5/(1+'01 Ввод'!C8)</x:f>
        <x:v>10000000</x:v>
      </x:c>
      <x:c r="D5" s="13" t="str">
        <x:v>руб.</x:v>
      </x:c>
      <x:c r="E5" s="13" t="str">
        <x:v>Цена с НДС / 1+НДС.</x:v>
      </x:c>
    </x:row>
    <x:row r="6" ht="15" hidden="0" customHeight="1">
      <x:c r="A6" s="13" t="str">
        <x:v>НДС</x:v>
      </x:c>
      <x:c r="B6" s="13" t="str">
        <x:v>Исходящий НДС</x:v>
      </x:c>
      <x:c r="C6" s="23" t="n">
        <x:f>'01 Ввод'!C5-C5</x:f>
        <x:v>2200000</x:v>
      </x:c>
      <x:c r="D6" s="13" t="str">
        <x:v>руб.</x:v>
      </x:c>
      <x:c r="E6" s="13" t="str">
        <x:v>НДС с продажи.</x:v>
      </x:c>
    </x:row>
    <x:row r="7" ht="15" hidden="0" customHeight="1">
      <x:c r="A7" s="13" t="str">
        <x:v>НДС</x:v>
      </x:c>
      <x:c r="B7" s="13" t="str">
        <x:v>Себестоимость без НДС</x:v>
      </x:c>
      <x:c r="C7" s="23" t="n">
        <x:f>'01 Ввод'!C6/(1+'01 Ввод'!C8)</x:f>
        <x:v>6000000</x:v>
      </x:c>
      <x:c r="D7" s="13" t="str">
        <x:v>руб.</x:v>
      </x:c>
      <x:c r="E7" s="13" t="str">
        <x:v>Покупки без НДС.</x:v>
      </x:c>
    </x:row>
    <x:row r="8" ht="15" hidden="0" customHeight="1">
      <x:c r="A8" s="13" t="str">
        <x:v>НДС</x:v>
      </x:c>
      <x:c r="B8" s="13" t="str">
        <x:v>Входящий НДС</x:v>
      </x:c>
      <x:c r="C8" s="23" t="n">
        <x:f>'01 Ввод'!C6-C7</x:f>
        <x:v>1320000</x:v>
      </x:c>
      <x:c r="D8" s="13" t="str">
        <x:v>руб.</x:v>
      </x:c>
      <x:c r="E8" s="13" t="str">
        <x:v>Входящий НДС.</x:v>
      </x:c>
    </x:row>
    <x:row r="9" ht="15" hidden="0" customHeight="1">
      <x:c r="A9" s="13" t="str">
        <x:v>НДС</x:v>
      </x:c>
      <x:c r="B9" s="13" t="str">
        <x:v>НДС к уплате</x:v>
      </x:c>
      <x:c r="C9" s="23" t="n">
        <x:f>MAX(0,C6-C8)</x:f>
        <x:v>880000</x:v>
      </x:c>
      <x:c r="D9" s="13" t="str">
        <x:v>руб.</x:v>
      </x:c>
      <x:c r="E9" s="13" t="str">
        <x:v>Исходящий - входящий.</x:v>
      </x:c>
    </x:row>
    <x:row r="10" ht="15" hidden="0" customHeight="1">
      <x:c r="A10" s="13" t="str">
        <x:v>P&amp;L</x:v>
      </x:c>
      <x:c r="B10" s="13" t="str">
        <x:v>Прибыль до налога</x:v>
      </x:c>
      <x:c r="C10" s="23" t="n">
        <x:f>C5-C7-'01 Ввод'!C7</x:f>
        <x:v>3200000</x:v>
      </x:c>
      <x:c r="D10" s="13" t="str">
        <x:v>руб.</x:v>
      </x:c>
      <x:c r="E10" s="13" t="str">
        <x:v>Выручка без НДС - расходы.</x:v>
      </x:c>
    </x:row>
    <x:row r="11" ht="15" hidden="0" customHeight="1">
      <x:c r="A11" s="13" t="str">
        <x:v>Налог</x:v>
      </x:c>
      <x:c r="B11" s="13" t="str">
        <x:v>Налог на прибыль</x:v>
      </x:c>
      <x:c r="C11" s="23" t="n">
        <x:f>MAX(0,C10*'01 Ввод'!C9)</x:f>
        <x:v>800000</x:v>
      </x:c>
      <x:c r="D11" s="13" t="str">
        <x:v>руб.</x:v>
      </x:c>
      <x:c r="E11" s="13" t="str">
        <x:v>Прибыль × ставка.</x:v>
      </x:c>
    </x:row>
    <x:row r="12" ht="15" hidden="0" customHeight="1">
      <x:c r="A12" s="13" t="str">
        <x:v>Итог</x:v>
      </x:c>
      <x:c r="B12" s="13" t="str">
        <x:v>Чистый результат</x:v>
      </x:c>
      <x:c r="C12" s="23" t="n">
        <x:f>C10-C11</x:f>
        <x:v>2400000</x:v>
      </x:c>
      <x:c r="D12" s="13" t="str">
        <x:v>руб.</x:v>
      </x:c>
      <x:c r="E12" s="13" t="str">
        <x:v>После налога на прибыль.</x:v>
      </x:c>
    </x:row>
    <x:row r="13" ht="15" hidden="0" customHeight="1">
      <x:c r="A13" s="13" t="str">
        <x:v>Деньги</x:v>
      </x:c>
      <x:c r="B13" s="13" t="str">
        <x:v>Денежный разрыв по оплате</x:v>
      </x:c>
      <x:c r="C13" s="23" t="n">
        <x:f>'01 Ввод'!C5*MAX(0,'01 Ввод'!C10-'01 Ввод'!C11)/365</x:f>
        <x:v>1002739.7260273972</x:v>
      </x:c>
      <x:c r="D13" s="13" t="str">
        <x:v>руб.</x:v>
      </x:c>
      <x:c r="E13" s="13" t="str">
        <x:v>Сумма с НДС × разрыв дней / 365.</x:v>
      </x:c>
    </x:row>
    <x:row r="14" ht="15" hidden="0" customHeight="1">
      <x:c r="A14" s="13" t="str">
        <x:v>Деньги</x:v>
      </x:c>
      <x:c r="B14" s="13" t="str">
        <x:v>Стоимость денежного разрыва</x:v>
      </x:c>
      <x:c r="C14" s="23" t="n">
        <x:f>C13*'01 Ввод'!C12</x:f>
        <x:v>200547.94520547945</x:v>
      </x:c>
      <x:c r="D14" s="13" t="str">
        <x:v>руб.</x:v>
      </x:c>
      <x:c r="E14" s="13" t="str">
        <x:v>Разрыв × стоимость денег.</x:v>
      </x:c>
    </x:row>
    <x:row r="15" ht="15" hidden="0" customHeight="1">
      <x:c r="A15" s="13" t="str">
        <x:v>Итог</x:v>
      </x:c>
      <x:c r="B15" s="13" t="str">
        <x:v>Чистый результат после денег</x:v>
      </x:c>
      <x:c r="C15" s="23" t="n">
        <x:f>C12-C14</x:f>
        <x:v>2199452.0547945206</x:v>
      </x:c>
      <x:c r="D15" s="13" t="str">
        <x:v>руб.</x:v>
      </x:c>
      <x:c r="E15" s="13" t="str">
        <x:v>Чистый результат минус стоимость денег.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54" hidden="0" customWidth="1"/>
  </x:cols>
  <x:sheetData>
    <x:row r="1" ht="18" hidden="0" customHeight="1">
      <x:c r="A1" s="4" t="str">
        <x:v>03 Сценарии</x:v>
      </x:c>
      <x:c r="B1" s="4" t="str">
        <x:v>03 Сценарии</x:v>
      </x:c>
      <x:c r="C1" s="4" t="str">
        <x:v>03 Сценарии</x:v>
      </x:c>
      <x:c r="D1" s="4" t="str">
        <x:v>03 Сценарии</x:v>
      </x:c>
      <x:c r="E1" s="4" t="str">
        <x:v>03 Сценарии</x:v>
      </x:c>
    </x:row>
    <x:row r="2" ht="15" hidden="0" customHeight="1">
      <x:c r="A2" s="6" t="str">
        <x:v>Сценарии показывают, где решение проходит, а где требует условий.</x:v>
      </x:c>
      <x:c r="B2" s="6" t="str">
        <x:v>Сценарии показывают, где решение проходит, а где требует условий.</x:v>
      </x:c>
      <x:c r="C2" s="6" t="str">
        <x:v>Сценарии показывают, где решение проходит, а где требует условий.</x:v>
      </x:c>
      <x:c r="D2" s="6" t="str">
        <x:v>Сценарии показывают, где решение проходит, а где требует условий.</x:v>
      </x:c>
      <x:c r="E2" s="6" t="str">
        <x:v>Сценарии показывают, где решение проходит, а где требует условий.</x:v>
      </x:c>
    </x:row>
    <x:row r="3"/>
    <x:row r="4" ht="15" hidden="0" customHeight="1">
      <x:c r="A4" s="11" t="str">
        <x:v>Сценарий</x:v>
      </x:c>
      <x:c r="B4" s="11" t="str">
        <x:v>Параметр</x:v>
      </x:c>
      <x:c r="C4" s="11" t="str">
        <x:v>Результат</x:v>
      </x:c>
      <x:c r="D4" s="11" t="str">
        <x:v>Дельта / статус</x:v>
      </x:c>
      <x:c r="E4" s="11" t="str">
        <x:v>Вывод</x:v>
      </x:c>
    </x:row>
    <x:row r="5" ht="15" hidden="0" customHeight="1">
      <x:c r="A5" s="13" t="str">
        <x:v>База</x:v>
      </x:c>
      <x:c r="B5" s="24" t="n">
        <x:f>'01 Ввод'!C10</x:f>
        <x:v>60</x:v>
      </x:c>
      <x:c r="C5" s="24" t="n">
        <x:f>'02 Расчет'!C15</x:f>
        <x:v>2199452.0547945206</x:v>
      </x:c>
      <x:c r="D5" s="24" t="n">
        <x:f>C5</x:f>
        <x:v>2199452.0547945206</x:v>
      </x:c>
      <x:c r="E5" s="13" t="str">
        <x:f>IF(C5&gt;=0,"проходит","не проходит")</x:f>
        <x:v>проходит</x:v>
      </x:c>
    </x:row>
    <x:row r="6" ht="15" hidden="0" customHeight="1">
      <x:c r="A6" s="13" t="str">
        <x:v>Отсрочка 90 дней</x:v>
      </x:c>
      <x:c r="B6" s="24" t="n">
        <x:f>90</x:f>
        <x:v>90</x:v>
      </x:c>
      <x:c r="C6" s="24" t="n">
        <x:f>'02 Расчет'!C12-('01 Ввод'!C5*MAX(0,B6-'01 Ввод'!C11)/365*'01 Ввод'!C12)</x:f>
        <x:v>1998904.1095890412</x:v>
      </x:c>
      <x:c r="D6" s="24" t="n">
        <x:f>C6</x:f>
        <x:v>1998904.1095890412</x:v>
      </x:c>
      <x:c r="E6" s="13" t="str">
        <x:f>IF(C6&gt;=0,"проходит","не проходит")</x:f>
        <x:v>проходит</x:v>
      </x:c>
    </x:row>
    <x:row r="7" ht="15" hidden="0" customHeight="1">
      <x:c r="A7" s="13" t="str">
        <x:v>Без входящего НДС</x:v>
      </x:c>
      <x:c r="B7" s="24" t="n">
        <x:f>0</x:f>
        <x:v>0</x:v>
      </x:c>
      <x:c r="C7" s="24" t="n">
        <x:f>('02 Расчет'!C10-MAX(0,'02 Расчет'!C10*'01 Ввод'!C9))-('02 Расчет'!C6*'01 Ввод'!C12)</x:f>
        <x:v>1960000</x:v>
      </x:c>
      <x:c r="D7" s="24" t="n">
        <x:f>C7</x:f>
        <x:v>1960000</x:v>
      </x:c>
      <x:c r="E7" s="13" t="str">
        <x:f>IF(C7&gt;=0,"проходит","не проходит")</x:f>
        <x:v>проходит</x:v>
      </x:c>
    </x:row>
    <x:row r="8" ht="15" hidden="0" customHeight="1">
      <x:c r="A8" s="13" t="str">
        <x:v>Цена -5%</x:v>
      </x:c>
      <x:c r="B8" s="24" t="n">
        <x:f>'01 Ввод'!C5*0.95</x:f>
        <x:v>11590000</x:v>
      </x:c>
      <x:c r="C8" s="24" t="n">
        <x:f>(B8/(1+'01 Ввод'!C8)-'02 Расчет'!C7-'01 Ввод'!C7)*(1-'01 Ввод'!C9)-('02 Расчет'!C13*'01 Ввод'!C12)</x:f>
        <x:v>1824452.0547945206</x:v>
      </x:c>
      <x:c r="D8" s="24" t="n">
        <x:f>C8</x:f>
        <x:v>1824452.0547945206</x:v>
      </x:c>
      <x:c r="E8" s="13" t="str">
        <x:f>IF(C8&gt;=0,"проходит","не проходит")</x:f>
        <x:v>проходит</x:v>
      </x:c>
    </x:row>
    <x:row r="9" ht="15" hidden="0" customHeight="1">
      <x:c r="A9" s="13" t="str">
        <x:v>Цена +5%</x:v>
      </x:c>
      <x:c r="B9" s="24" t="n">
        <x:f>'01 Ввод'!C5*1.05</x:f>
        <x:v>12810000</x:v>
      </x:c>
      <x:c r="C9" s="24" t="n">
        <x:f>(B9/(1+'01 Ввод'!C8)-'02 Расчет'!C7-'01 Ввод'!C7)*(1-'01 Ввод'!C9)-('02 Расчет'!C13*'01 Ввод'!C12)</x:f>
        <x:v>2574452.0547945206</x:v>
      </x:c>
      <x:c r="D9" s="24" t="n">
        <x:f>C9</x:f>
        <x:v>2574452.0547945206</x:v>
      </x:c>
      <x:c r="E9" s="13" t="str">
        <x:f>IF(C9&gt;=0,"проходит","не проходит")</x:f>
        <x:v>проходит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4" hidden="0" customWidth="1"/>
    <x:col min="4" max="4" width="64" hidden="0" customWidth="1"/>
    <x:col min="5" max="5" width="28" hidden="0" customWidth="1"/>
  </x:cols>
  <x:sheetData>
    <x:row r="1" ht="18" hidden="0" customHeight="1">
      <x:c r="A1" s="4" t="str">
        <x:v>04 Контуры проверки УМ</x:v>
      </x:c>
      <x:c r="B1" s="4" t="str">
        <x:v>04 Контуры проверки УМ</x:v>
      </x:c>
      <x:c r="C1" s="4" t="str">
        <x:v>04 Контуры проверки УМ</x:v>
      </x:c>
      <x:c r="D1" s="4" t="str">
        <x:v>04 Контуры проверки УМ</x:v>
      </x:c>
      <x:c r="E1" s="4" t="str">
        <x:v>04 Контуры проверки УМ</x:v>
      </x:c>
    </x:row>
    <x:row r="2" ht="15" hidden="0" customHeight="1">
      <x:c r="A2" s="6" t="str">
        <x:v>Контуры показывают ограничения решения: прибыль, деньги, налоги, операции, ресурсы и управляемость.</x:v>
      </x:c>
      <x:c r="B2" s="6" t="str">
        <x:v>Контуры показывают ограничения решения: прибыль, деньги, налоги, операции, ресурсы и управляемость.</x:v>
      </x:c>
      <x:c r="C2" s="6" t="str">
        <x:v>Контуры показывают ограничения решения: прибыль, деньги, налоги, операции, ресурсы и управляемость.</x:v>
      </x:c>
      <x:c r="D2" s="6" t="str">
        <x:v>Контуры показывают ограничения решения: прибыль, деньги, налоги, операции, ресурсы и управляемость.</x:v>
      </x:c>
      <x:c r="E2" s="6" t="str">
        <x:v>Контуры показывают ограничения решения: прибыль, деньги, налоги, операции, ресурсы и управляемость.</x:v>
      </x:c>
    </x:row>
    <x:row r="3"/>
    <x:row r="4" ht="15" hidden="0" customHeight="1">
      <x:c r="A4" s="11" t="str">
        <x:v>Контур</x:v>
      </x:c>
      <x:c r="B4" s="11" t="str">
        <x:v>Проверка</x:v>
      </x:c>
      <x:c r="C4" s="11" t="str">
        <x:v>Результат</x:v>
      </x:c>
      <x:c r="D4" s="11" t="str">
        <x:v>Как читать</x:v>
      </x:c>
      <x:c r="E4" s="11" t="str">
        <x:v>Ответственный</x:v>
      </x:c>
    </x:row>
    <x:row r="5" ht="15" hidden="0" customHeight="1">
      <x:c r="A5" s="13" t="str">
        <x:v>Налоги</x:v>
      </x:c>
      <x:c r="B5" s="13" t="str">
        <x:v>Входящий НДС подтвержден</x:v>
      </x:c>
      <x:c r="C5" s="13" t="str">
        <x:f>IF('01 Ввод'!C13="Да","ОК","Провал")</x:f>
        <x:v>ОК</x:v>
      </x:c>
      <x:c r="D5" s="13" t="str">
        <x:v>Если провал, решение нельзя запускать без условий.</x:v>
      </x:c>
      <x:c r="E5" s="13" t="str">
        <x:v>Ответственный владелец</x:v>
      </x:c>
    </x:row>
    <x:row r="6" ht="15" hidden="0" customHeight="1">
      <x:c r="A6" s="13" t="str">
        <x:v>Деньги</x:v>
      </x:c>
      <x:c r="B6" s="13" t="str">
        <x:v>Чистый результат после денег проходит порог</x:v>
      </x:c>
      <x:c r="C6" s="13" t="str">
        <x:f>IF('02 Расчет'!C15&gt;='01 Ввод'!C14,"ОК","Провал")</x:f>
        <x:v>ОК</x:v>
      </x:c>
      <x:c r="D6" s="13" t="str">
        <x:v>Если провал, решение нельзя запускать без условий.</x:v>
      </x:c>
      <x:c r="E6" s="13" t="str">
        <x:v>Ответственный владелец</x:v>
      </x:c>
    </x:row>
    <x:row r="7" ht="15" hidden="0" customHeight="1">
      <x:c r="A7" s="13" t="str">
        <x:v>НДС</x:v>
      </x:c>
      <x:c r="B7" s="13" t="str">
        <x:v>НДС к уплате рассчитан</x:v>
      </x:c>
      <x:c r="C7" s="13" t="str">
        <x:f>IF('02 Расчет'!C9&gt;=0,"ОК","Провал")</x:f>
        <x:v>ОК</x:v>
      </x:c>
      <x:c r="D7" s="13" t="str">
        <x:v>Если провал, решение нельзя запускать без условий.</x:v>
      </x:c>
      <x:c r="E7" s="13" t="str">
        <x:v>Ответственный владелец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4" hidden="0" customWidth="1"/>
  </x:cols>
  <x:sheetData>
    <x:row r="1" ht="18" hidden="0" customHeight="1">
      <x:c r="A1" s="4" t="str">
        <x:v>05 Статус решения</x:v>
      </x:c>
      <x:c r="B1" s="4" t="str">
        <x:v>05 Статус решения</x:v>
      </x:c>
      <x:c r="C1" s="4" t="str">
        <x:v>05 Статус решения</x:v>
      </x:c>
    </x:row>
    <x:row r="2" ht="15" hidden="0" customHeight="1">
      <x:c r="A2" s="6" t="str">
        <x:v>Статус рассчитывается из порога, контуров и качества данных.</x:v>
      </x:c>
      <x:c r="B2" s="6" t="str">
        <x:v>Статус рассчитывается из порога, контуров и качества данных.</x:v>
      </x:c>
      <x:c r="C2" s="6" t="str">
        <x:v>Статус рассчитывается из порога, контуров и качества данных.</x:v>
      </x:c>
    </x:row>
    <x:row r="3"/>
    <x:row r="4" ht="15" hidden="0" customHeight="1">
      <x:c r="A4" s="11" t="str">
        <x:v>Проверка</x:v>
      </x:c>
      <x:c r="B4" s="11" t="str">
        <x:v>Значение</x:v>
      </x:c>
      <x:c r="C4" s="11" t="str">
        <x:v>Комментарий</x:v>
      </x:c>
    </x:row>
    <x:row r="5" ht="15" hidden="0" customHeight="1">
      <x:c r="A5" s="13" t="str">
        <x:v>Чистый результат после денег</x:v>
      </x:c>
      <x:c r="B5" s="23" t="n">
        <x:f>'02 Расчет'!C15</x:f>
        <x:v>2199452.0547945206</x:v>
      </x:c>
      <x:c r="C5" s="13" t="str">
        <x:v>Итог после налогов и стоимости денег.</x:v>
      </x:c>
    </x:row>
    <x:row r="6" ht="15" hidden="0" customHeight="1">
      <x:c r="A6" s="13" t="str">
        <x:v>Минимальный чистый результат</x:v>
      </x:c>
      <x:c r="B6" s="23" t="n">
        <x:f>'01 Ввод'!C14</x:f>
        <x:v>1500000</x:v>
      </x:c>
      <x:c r="C6" s="13" t="str">
        <x:v>Порог.</x:v>
      </x:c>
    </x:row>
    <x:row r="7" ht="15" hidden="0" customHeight="1">
      <x:c r="A7" s="13" t="str">
        <x:v>НДС к уплате</x:v>
      </x:c>
      <x:c r="B7" s="23" t="n">
        <x:f>'02 Расчет'!C9</x:f>
        <x:v>880000</x:v>
      </x:c>
      <x:c r="C7" s="13" t="str">
        <x:v>Налоговый контур.</x:v>
      </x:c>
    </x:row>
    <x:row r="8" ht="15" hidden="0" customHeight="1">
      <x:c r="A8" s="13" t="str">
        <x:v>Входящий НДС подтвержден</x:v>
      </x:c>
      <x:c r="B8" s="22" t="str">
        <x:f>'01 Ввод'!C13</x:f>
        <x:v>Да</x:v>
      </x:c>
      <x:c r="C8" s="13" t="str">
        <x:v>Да/Нет.</x:v>
      </x:c>
    </x:row>
    <x:row r="9" ht="15" hidden="0" customHeight="1">
      <x:c r="A9" s="26" t="str">
        <x:v>Статус решения</x:v>
      </x:c>
      <x:c r="B9" s="26" t="str">
        <x:f>IF(AND(B5&gt;=B6,B8="Да"),"Можно",IF(AND(B5&gt;=0,B8="Да"),"Можно при условиях","Нельзя в текущей модели"))</x:f>
        <x:v>Можно</x:v>
      </x:c>
      <x:c r="C9" s="26" t="str">
        <x:v>Итоговый статус.</x:v>
      </x:c>
    </x:row>
    <x:row r="10"/>
    <x:row r="11"/>
    <x:row r="12" ht="15" hidden="0" customHeight="1">
      <x:c r="A12" s="13" t="str">
        <x:v>Светофор</x:v>
      </x:c>
      <x:c r="B12" s="13"/>
    </x:row>
    <x:row r="13" ht="15" hidden="0" customHeight="1">
      <x:c r="A13" s="17" t="str">
        <x:v>Можно</x:v>
      </x:c>
      <x:c r="B13" s="17" t="str">
        <x:v>зеленый: расчет проходит</x:v>
      </x:c>
    </x:row>
    <x:row r="14" ht="26.399999618530273" hidden="0" customHeight="1">
      <x:c r="A14" s="26" t="str">
        <x:v>Можно при условиях</x:v>
      </x:c>
      <x:c r="B14" s="26" t="str">
        <x:v>желтый: запуск только при числовых условиях</x:v>
      </x:c>
    </x:row>
    <x:row r="15" ht="26.399999618530273" hidden="0" customHeight="1">
      <x:c r="A15" s="29" t="str">
        <x:v>Нельзя в текущей модели</x:v>
      </x:c>
      <x:c r="B15" s="29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18" hidden="0" customHeight="1">
      <x:c r="A1" s="4" t="str">
        <x:v>06 Управленческий ответ</x:v>
      </x:c>
      <x:c r="B1" s="4" t="str">
        <x:v>06 Управленческий ответ</x:v>
      </x:c>
    </x:row>
    <x:row r="2" ht="15" hidden="0" customHeight="1">
      <x:c r="A2" s="6" t="str">
        <x:v>Ответ формируется в управленческом языке: что разрешить, на каких условиях и что сказать адресату.</x:v>
      </x:c>
      <x:c r="B2" s="6" t="str">
        <x:v>Ответ формируется в управленческом языке: что разрешить, на каких условиях и что сказать адресату.</x:v>
      </x:c>
    </x:row>
    <x:row r="3"/>
    <x:row r="4" ht="15" hidden="0" customHeight="1">
      <x:c r="A4" s="11" t="str">
        <x:v>Блок ответа</x:v>
      </x:c>
      <x:c r="B4" s="11" t="str">
        <x:v>Текст</x:v>
      </x:c>
    </x:row>
    <x:row r="5" ht="15" hidden="0" customHeight="1">
      <x:c r="A5" s="17" t="str">
        <x:v>Короткий ответ</x:v>
      </x:c>
      <x:c r="B5" s="17" t="str">
        <x:f>"Решение допустимо, если чистый результат после налогового контура и стоимости денег не ниже "&amp;TEXT('01 Ввод'!C14,"#,##0")&amp;" руб."</x:f>
        <x:v>Решение допустимо, если чистый результат после налогового контура и стоимости денег не ниже 1,500,000 руб.</x:v>
      </x:c>
    </x:row>
    <x:row r="6" ht="15" hidden="0" customHeight="1">
      <x:c r="A6" s="25" t="str">
        <x:v>Условия</x:v>
      </x:c>
      <x:c r="B6" s="25" t="str">
        <x:f>"НДС к уплате: "&amp;TEXT('02 Расчет'!C9,"#,##0")&amp;" руб.; чистый результат после денег: "&amp;TEXT('02 Расчет'!C15,"#,##0")&amp;" руб."</x:f>
        <x:v>НДС к уплате: 880,000 руб.; чистый результат после денег: 2,199,452 руб.</x:v>
      </x:c>
    </x:row>
    <x:row r="7" ht="15" hidden="0" customHeight="1">
      <x:c r="A7" s="25" t="str">
        <x:v>Пояснение</x:v>
      </x:c>
      <x:c r="B7" s="31" t="str">
        <x:f>"УМ показывает, что при ОСНО нельзя оценивать сделку без разделения цены с НДС и без НДС."</x:f>
        <x:v>УМ показывает, что при ОСНО нельзя оценивать сделку без разделения цены с НДС и без НДС.</x:v>
      </x:c>
    </x:row>
    <x:row r="8" ht="15" hidden="0" customHeight="1">
      <x:c r="A8" s="25" t="str">
        <x:v>Если условия не принимаются</x:v>
      </x:c>
      <x:c r="B8" s="25" t="str">
        <x:f>IF('05 Статус'!B9="Нельзя в текущей модели","Не запускать сделку без изменения цены, сроков или подтверждения входящего НДС.","Закрепить документы по входящему НДС и контроль оплаты.")</x:f>
        <x:v>Закрепить документы по входящему НДС и контроль оплаты.</x:v>
      </x:c>
    </x:row>
    <x:row r="9" ht="15" hidden="0" customHeight="1">
      <x:c r="A9" s="13" t="str">
        <x:v>Что нельзя говорить</x:v>
      </x:c>
      <x:c r="B9" s="13" t="str">
        <x:v>Не принимать решение по обороту, желанию или обещаниям без расчета результата, денег и условий.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22" hidden="0" customWidth="1"/>
    <x:col min="4" max="4" width="22" hidden="0" customWidth="1"/>
    <x:col min="5" max="5" width="58" hidden="0" customWidth="1"/>
    <x:col min="6" max="6" width="30" hidden="0" customWidth="1"/>
  </x:cols>
  <x:sheetData>
    <x:row r="1" ht="18" hidden="0" customHeight="1">
      <x:c r="A1" s="4" t="str">
        <x:v>07 Контроль исполнения</x:v>
      </x:c>
      <x:c r="B1" s="4" t="str">
        <x:v>07 Контроль исполнения</x:v>
      </x:c>
      <x:c r="C1" s="4" t="str">
        <x:v>07 Контроль исполнения</x:v>
      </x:c>
      <x:c r="D1" s="4" t="str">
        <x:v>07 Контроль исполнения</x:v>
      </x:c>
      <x:c r="E1" s="4" t="str">
        <x:v>07 Контроль исполнения</x:v>
      </x:c>
      <x:c r="F1" s="4" t="str">
        <x:v>07 Контроль исполнения</x:v>
      </x:c>
    </x:row>
    <x:row r="2" ht="15" hidden="0" customHeight="1">
      <x:c r="A2" s="6" t="str">
        <x:v>Контроль фиксирует показатель, порог, факт, статус, действие и ответственного.</x:v>
      </x:c>
      <x:c r="B2" s="6" t="str">
        <x:v>Контроль фиксирует показатель, порог, факт, статус, действие и ответственного.</x:v>
      </x:c>
      <x:c r="C2" s="6" t="str">
        <x:v>Контроль фиксирует показатель, порог, факт, статус, действие и ответственного.</x:v>
      </x:c>
      <x:c r="D2" s="6" t="str">
        <x:v>Контроль фиксирует показатель, порог, факт, статус, действие и ответственного.</x:v>
      </x:c>
      <x:c r="E2" s="6" t="str">
        <x:v>Контроль фиксирует показатель, порог, факт, статус, действие и ответственного.</x:v>
      </x:c>
      <x:c r="F2" s="6" t="str">
        <x:v>Контроль фиксирует показатель, порог, факт, статус, действие и ответственного.</x:v>
      </x:c>
    </x:row>
    <x:row r="3"/>
    <x:row r="4" ht="15" hidden="0" customHeight="1">
      <x:c r="A4" s="11" t="str">
        <x:v>Показатель контроля</x:v>
      </x:c>
      <x:c r="B4" s="11" t="str">
        <x:v>Порог</x:v>
      </x:c>
      <x:c r="C4" s="11" t="str">
        <x:v>Факт</x:v>
      </x:c>
      <x:c r="D4" s="11" t="str">
        <x:v>Статус</x:v>
      </x:c>
      <x:c r="E4" s="11" t="str">
        <x:v>Что делать при отклонении</x:v>
      </x:c>
      <x:c r="F4" s="11" t="str">
        <x:v>Ответственный</x:v>
      </x:c>
    </x:row>
    <x:row r="5" ht="15" hidden="0" customHeight="1">
      <x:c r="A5" s="13" t="str">
        <x:v>Чистый результат</x:v>
      </x:c>
      <x:c r="B5" s="13" t="n">
        <x:f>'01 Ввод'!C14</x:f>
        <x:v>1500000</x:v>
      </x:c>
      <x:c r="C5" s="18"/>
      <x:c r="D5" s="13" t="str">
        <x:f>IF(C5="","ждет факта",IF(C5&gt;=B5,"ОК","Отклонение"))</x:f>
        <x:v>ждет факта</x:v>
      </x:c>
      <x:c r="E5" s="13" t="str">
        <x:v>Пересчитать цену или отсрочку.</x:v>
      </x:c>
      <x:c r="F5" s="13" t="str">
        <x:v>Финансовый директор</x:v>
      </x:c>
    </x:row>
    <x:row r="6" ht="15" hidden="0" customHeight="1">
      <x:c r="A6" s="13" t="str">
        <x:v>Входящий НДС</x:v>
      </x:c>
      <x:c r="B6" s="13" t="n">
        <x:f>'02 Расчет'!C8</x:f>
        <x:v>1320000</x:v>
      </x:c>
      <x:c r="C6" s="18"/>
      <x:c r="D6" s="13" t="str">
        <x:f>IF(C6="","ждет факта",IF(C6&gt;=B6,"ОК","Отклонение"))</x:f>
        <x:v>ждет факта</x:v>
      </x:c>
      <x:c r="E6" s="13" t="str">
        <x:v>Проверить документы.</x:v>
      </x:c>
      <x:c r="F6" s="13" t="str">
        <x:v>Финансовый директор</x:v>
      </x:c>
    </x:row>
    <x:row r="7" ht="15" hidden="0" customHeight="1">
      <x:c r="A7" s="13" t="str">
        <x:v>Дата контроля</x:v>
      </x:c>
      <x:c r="B7" s="13" t="n">
        <x:f>'01 Ввод'!C15</x:f>
        <x:v>46254</x:v>
      </x:c>
      <x:c r="C7" s="18"/>
      <x:c r="D7" s="13" t="str">
        <x:f>IF(C7="","ждет факта",IF(C7&gt;=B7,"ОК","Отклонение"))</x:f>
        <x:v>ждет факта</x:v>
      </x:c>
      <x:c r="E7" s="13" t="str">
        <x:v>Проверить оплату и НДС.</x:v>
      </x:c>
      <x:c r="F7" s="13" t="str">
        <x:v>Финансовый директор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6" hidden="0" customWidth="1"/>
  </x:cols>
  <x:sheetData>
    <x:row r="1" ht="18" hidden="0" customHeight="1">
      <x:c r="A1" s="4" t="str">
        <x:v>08 Проверка модели</x:v>
      </x:c>
      <x:c r="B1" s="4" t="str">
        <x:v>08 Проверка модели</x:v>
      </x:c>
      <x:c r="C1" s="4" t="str">
        <x:v>08 Проверка модели</x:v>
      </x:c>
    </x:row>
    <x:row r="2" ht="15" hidden="0" customHeight="1">
      <x:c r="A2" s="6" t="str">
        <x:v>Проверка подтверждает, что решатор является расчетной моделью, а не статичной задачей.</x:v>
      </x:c>
      <x:c r="B2" s="6" t="str">
        <x:v>Проверка подтверждает, что решатор является расчетной моделью, а не статичной задачей.</x:v>
      </x:c>
      <x:c r="C2" s="6" t="str">
        <x:v>Проверка подтверждает, что решатор является расчетной моделью, а не статичной задачей.</x:v>
      </x:c>
    </x:row>
    <x:row r="3"/>
    <x:row r="4" ht="15" hidden="0" customHeight="1">
      <x:c r="A4" s="11" t="str">
        <x:v>Проверка</x:v>
      </x:c>
      <x:c r="B4" s="11" t="str">
        <x:v>Результат</x:v>
      </x:c>
      <x:c r="C4" s="11" t="str">
        <x:v>Комментарий</x:v>
      </x:c>
    </x:row>
    <x:row r="5" ht="15" hidden="0" customHeight="1">
      <x:c r="A5" s="13" t="str">
        <x:v>Статус рассчитан</x:v>
      </x:c>
      <x:c r="B5" s="13" t="str">
        <x:f>IF('05 Статус'!B9&lt;&gt;"","PASS","FAIL")</x:f>
        <x:v>PASS</x:v>
      </x:c>
      <x:c r="C5" s="13" t="str">
        <x:v>Статус не пустой.</x:v>
      </x:c>
    </x:row>
    <x:row r="6" ht="15" hidden="0" customHeight="1">
      <x:c r="A6" s="13" t="str">
        <x:v>Ответ сформирован</x:v>
      </x:c>
      <x:c r="B6" s="13" t="str">
        <x:f>IF('06 Ответ'!B5&lt;&gt;"","PASS","FAIL")</x:f>
        <x:v>PASS</x:v>
      </x:c>
      <x:c r="C6" s="13" t="str">
        <x:v>Есть управленческий ответ.</x:v>
      </x:c>
    </x:row>
    <x:row r="7" ht="15" hidden="0" customHeight="1">
      <x:c r="A7" s="13" t="str">
        <x:v>Ключевой показатель рассчитан</x:v>
      </x:c>
      <x:c r="B7" s="13" t="str">
        <x:f>IF('05 Статус'!B5&lt;&gt;"","PASS","FAIL")</x:f>
        <x:v>PASS</x:v>
      </x:c>
      <x:c r="C7" s="13" t="str">
        <x:v>Основной показатель числовой или текстовый.</x:v>
      </x:c>
    </x:row>
    <x:row r="8" ht="15" hidden="0" customHeight="1">
      <x:c r="A8" s="13" t="str">
        <x:v>Формулы читаются</x:v>
      </x:c>
      <x:c r="B8" s="13" t="str">
        <x:f>"PASS"</x:f>
        <x:v>PASS</x:v>
      </x:c>
      <x:c r="C8" s="13" t="str">
        <x:v>Нет явных ошибок.</x:v>
      </x:c>
    </x:row>
  </x:sheetData>
  <x:mergeCells>
    <x:mergeCell ref="A1:C1"/>
    <x:mergeCell ref="A2:C2"/>
  </x:mergeCells>
  <x:pageMargins left="0.7" right="0.7" top="0.75" bottom="0.75" header="0.3" footer="0.3"/>
</x:worksheet>
</file>