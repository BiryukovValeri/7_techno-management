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2f525f3f9e48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Каталог" sheetId="1" r:id="R055299b14d3a4c35"/>
    <x:sheet xmlns:r="http://schemas.openxmlformats.org/officeDocument/2006/relationships" name="01 Ввод" sheetId="2" r:id="R37c0ee1ab51d4f6a"/>
    <x:sheet xmlns:r="http://schemas.openxmlformats.org/officeDocument/2006/relationships" name="02 Расчет" sheetId="3" r:id="R114a853bdebb48ff"/>
    <x:sheet xmlns:r="http://schemas.openxmlformats.org/officeDocument/2006/relationships" name="03 Сценарии" sheetId="4" r:id="Rbc81dbee3ff44ddb"/>
    <x:sheet xmlns:r="http://schemas.openxmlformats.org/officeDocument/2006/relationships" name="04 Контуры" sheetId="5" r:id="R5338cc252e1c45f2"/>
    <x:sheet xmlns:r="http://schemas.openxmlformats.org/officeDocument/2006/relationships" name="05 Статус" sheetId="6" r:id="R7baef8fe756042cd"/>
    <x:sheet xmlns:r="http://schemas.openxmlformats.org/officeDocument/2006/relationships" name="06 Ответ" sheetId="7" r:id="R513e387b6da24a3b"/>
    <x:sheet xmlns:r="http://schemas.openxmlformats.org/officeDocument/2006/relationships" name="07 Контроль" sheetId="8" r:id="Rf77ae37d58db4286"/>
    <x:sheet xmlns:r="http://schemas.openxmlformats.org/officeDocument/2006/relationships" name="08 Проверка" sheetId="9" r:id="Raf9ebd4db6d04a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yyyy-mm-dd"/>
    <x:numFmt numFmtId="203" formatCode="#,##0.0"/>
  </x:numFmts>
  <x:fonts count="11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sz val="11"/>
      <x:color rgb="FF1F6B4E"/>
      <x:name val="Carlito"/>
    </x:font>
    <x:font>
      <x:b/>
      <x:sz val="11"/>
      <x:color rgb="FF1F6B4E"/>
      <x:name val="Carlito"/>
    </x:font>
    <x:font>
      <x:sz val="11"/>
      <x:color rgb="FF7A4A00"/>
      <x:name val="Carlito"/>
    </x:font>
    <x:font>
      <x:b/>
      <x:sz val="11"/>
      <x:color rgb="FF7A4A00"/>
      <x:name val="Carlito"/>
    </x:font>
    <x:font>
      <x:sz val="11"/>
      <x:color rgb="FF8A2D2D"/>
      <x:name val="Carlito"/>
    </x:font>
    <x:font>
      <x:b/>
      <x:sz val="11"/>
      <x:color rgb="FF8A2D2D"/>
      <x:name val="Carlito"/>
    </x:font>
    <x:font>
      <x:sz val="11"/>
      <x:color rgb="FF111827"/>
      <x:name val="Carlito"/>
    </x:font>
  </x:fonts>
  <x:fills count="21">
    <x:fill>
      <x:patternFill patternType="none"/>
    </x:fill>
    <x:fill>
      <x:patternFill patternType="gray125"/>
    </x:fill>
    <x:fill>
      <x:patternFill patternType="solid">
        <x:fgColor rgb="FF1F2933"/>
      </x:patternFill>
    </x:fill>
    <x:fill>
      <x:patternFill patternType="solid">
        <x:fgColor rgb="FFEEF2F4"/>
      </x:patternFill>
    </x:fill>
    <x:fill>
      <x:patternFill patternType="solid">
        <x:fgColor rgb="FF1F4E5F"/>
      </x:patternFill>
    </x:fill>
    <x:fill>
      <x:patternFill patternType="solid">
        <x:fgColor rgb="FFF4FAF8"/>
      </x:patternFill>
    </x:fill>
    <x:fill>
      <x:patternFill patternType="solid">
        <x:fgColor rgb="FFDDEFEA"/>
      </x:patternFill>
    </x:fill>
    <x:fill>
      <x:patternFill patternType="solid">
        <x:fgColor rgb="FFFFF3C4"/>
      </x:patternFill>
    </x:fill>
    <x:fill>
      <x:patternFill patternType="solid">
        <x:fgColor rgb="FFEAF3F6"/>
      </x:patternFill>
    </x:fill>
    <x:fill>
      <x:patternFill patternType="solid">
        <x:fgColor rgb="FFFDE2E2"/>
      </x:patternFill>
    </x:fill>
    <x:fill>
      <x:patternFill patternType="solid">
        <x:fgColor rgb="FF1F2933"/>
      </x:patternFill>
    </x:fill>
    <x:fill>
      <x:patternFill patternType="solid">
        <x:fgColor rgb="FFEEF2F4"/>
      </x:patternFill>
    </x:fill>
    <x:fill>
      <x:patternFill patternType="solid">
        <x:fgColor rgb="FF1F4E5F"/>
      </x:patternFill>
    </x:fill>
    <x:fill>
      <x:patternFill patternType="solid">
        <x:fgColor rgb="FFF4FAF8"/>
      </x:patternFill>
    </x:fill>
    <x:fill>
      <x:patternFill patternType="solid">
        <x:fgColor rgb="FFDDEFEA"/>
      </x:patternFill>
    </x:fill>
    <x:fill>
      <x:patternFill patternType="solid">
        <x:fgColor rgb="FFEAF3F6"/>
      </x:patternFill>
    </x:fill>
    <x:fill>
      <x:patternFill patternType="solid">
        <x:fgColor rgb="FF1F2933"/>
      </x:patternFill>
    </x:fill>
    <x:fill>
      <x:patternFill patternType="solid">
        <x:fgColor rgb="FFEEF2F4"/>
      </x:patternFill>
    </x:fill>
    <x:fill>
      <x:patternFill patternType="solid">
        <x:fgColor rgb="FF1F4E5F"/>
      </x:patternFill>
    </x:fill>
    <x:fill>
      <x:patternFill patternType="solid">
        <x:fgColor rgb="FFF4FAF8"/>
      </x:patternFill>
    </x:fill>
    <x:fill>
      <x:patternFill patternType="solid">
        <x:fgColor rgb="FFDDEFEA"/>
      </x:patternFill>
    </x:fill>
  </x:fills>
  <x:borders count="2">
    <x:border/>
    <x:border>
      <x:left style="thin">
        <x:color rgb="FFD7DEE2"/>
      </x:left>
      <x:right style="thin">
        <x:color rgb="FFD7DEE2"/>
      </x:right>
      <x:top style="thin">
        <x:color rgb="FFD7DEE2"/>
      </x:top>
      <x:bottom style="thin">
        <x:color rgb="FFD7DEE2"/>
      </x:bottom>
    </x:border>
  </x:borders>
  <x:cellStyleXfs count="1">
    <x:xf numFmtId="0" fontId="0" fillId="0" borderId="0"/>
  </x:cellStyleXfs>
  <x:cellXfs count="6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200" fontId="0" fillId="7" borderId="1" xfId="0" applyNumberFormat="1" applyFont="1" applyFill="1" applyBorder="1" applyAlignment="1">
      <x:alignment wrapText="1"/>
    </x:xf>
    <x:xf numFmtId="201" fontId="0" fillId="7" borderId="1" xfId="0" applyNumberFormat="1" applyFont="1" applyFill="1" applyBorder="1" applyAlignment="1">
      <x:alignment wrapText="1"/>
    </x:xf>
    <x:xf numFmtId="202" fontId="0" fillId="7" borderId="1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200" fontId="0" fillId="8" borderId="1" xfId="0" applyNumberFormat="1" applyFont="1" applyFill="1" applyBorder="1" applyAlignment="1">
      <x:alignment wrapText="1"/>
    </x:xf>
    <x:xf numFmtId="201" fontId="0" fillId="8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wrapText="1"/>
    </x:xf>
    <x:xf numFmtId="0" fontId="8" fillId="9" borderId="1" xfId="0" applyNumberFormat="1" applyFont="1" applyFill="1" applyBorder="1" applyAlignment="1">
      <x:alignment wrapText="1"/>
    </x:xf>
    <x:xf numFmtId="0" fontId="9" fillId="9" borderId="1" xfId="0" applyNumberFormat="1" applyFont="1" applyFill="1" applyBorder="1" applyAlignment="1">
      <x:alignment wrapText="1"/>
    </x:xf>
    <x:xf numFmtId="0" fontId="6" fillId="8" borderId="1" xfId="0" applyNumberFormat="1" applyFont="1" applyFill="1" applyBorder="1" applyAlignment="1">
      <x:alignment wrapText="1"/>
    </x:xf>
    <x:xf numFmtId="0" fontId="10" fillId="8" borderId="1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2" fillId="10" borderId="0" xfId="0" applyNumberFormat="1" applyFont="1" applyFill="1" applyBorder="1"/>
    <x:xf numFmtId="0" fontId="3" fillId="10" borderId="0" xfId="0" applyNumberFormat="1" applyFont="1" applyFill="1" applyBorder="1"/>
    <x:xf numFmtId="0" fontId="0" fillId="11" borderId="0" xfId="0" applyNumberFormat="1" applyFont="1" applyFill="1" applyBorder="1"/>
    <x:xf numFmtId="0" fontId="0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2" fillId="12" borderId="1" xfId="0" applyNumberFormat="1" applyFont="1" applyFill="1" applyBorder="1" applyAlignment="1">
      <x:alignment wrapText="1"/>
    </x:xf>
    <x:xf numFmtId="0" fontId="0" fillId="13" borderId="1" xfId="0" applyNumberFormat="1" applyFont="1" applyFill="1" applyBorder="1" applyAlignment="1">
      <x:alignment wrapText="1"/>
    </x:xf>
    <x:xf numFmtId="0" fontId="0" fillId="14" borderId="1" xfId="0" applyNumberFormat="1" applyFont="1" applyFill="1" applyBorder="1" applyAlignment="1">
      <x:alignment wrapText="1"/>
    </x:xf>
    <x:xf numFmtId="0" fontId="4" fillId="14" borderId="1" xfId="0" applyNumberFormat="1" applyFont="1" applyFill="1" applyBorder="1" applyAlignment="1">
      <x:alignment wrapText="1"/>
    </x:xf>
    <x:xf numFmtId="0" fontId="5" fillId="14" borderId="1" xfId="0" applyNumberFormat="1" applyFont="1" applyFill="1" applyBorder="1" applyAlignment="1">
      <x:alignment wrapText="1"/>
    </x:xf>
    <x:xf numFmtId="0" fontId="0" fillId="15" borderId="1" xfId="0" applyNumberFormat="1" applyFont="1" applyFill="1" applyBorder="1" applyAlignment="1">
      <x:alignment wrapText="1"/>
    </x:xf>
    <x:xf numFmtId="0" fontId="7" fillId="15" borderId="1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1" fillId="16" borderId="0" xfId="0" applyNumberFormat="1" applyFont="1" applyFill="1" applyBorder="1"/>
    <x:xf numFmtId="0" fontId="2" fillId="16" borderId="0" xfId="0" applyNumberFormat="1" applyFont="1" applyFill="1" applyBorder="1"/>
    <x:xf numFmtId="0" fontId="3" fillId="16" borderId="0" xfId="0" applyNumberFormat="1" applyFont="1" applyFill="1" applyBorder="1"/>
    <x:xf numFmtId="0" fontId="0" fillId="17" borderId="0" xfId="0" applyNumberFormat="1" applyFont="1" applyFill="1" applyBorder="1"/>
    <x:xf numFmtId="0" fontId="0" fillId="17" borderId="0" xfId="0" applyNumberFormat="1" applyFont="1" applyFill="1" applyBorder="1" applyAlignment="1">
      <x:alignment wrapText="1"/>
    </x:xf>
    <x:xf numFmtId="0" fontId="0" fillId="18" borderId="0" xfId="0" applyNumberFormat="1" applyFont="1" applyFill="1" applyBorder="1"/>
    <x:xf numFmtId="0" fontId="1" fillId="18" borderId="0" xfId="0" applyNumberFormat="1" applyFont="1" applyFill="1" applyBorder="1"/>
    <x:xf numFmtId="0" fontId="2" fillId="18" borderId="0" xfId="0" applyNumberFormat="1" applyFont="1" applyFill="1" applyBorder="1"/>
    <x:xf numFmtId="0" fontId="2" fillId="18" borderId="0" xfId="0" applyNumberFormat="1" applyFont="1" applyFill="1" applyBorder="1" applyAlignment="1">
      <x:alignment wrapText="1"/>
    </x:xf>
    <x:xf numFmtId="0" fontId="2" fillId="18" borderId="1" xfId="0" applyNumberFormat="1" applyFont="1" applyFill="1" applyBorder="1" applyAlignment="1">
      <x:alignment wrapText="1"/>
    </x:xf>
    <x:xf numFmtId="0" fontId="0" fillId="19" borderId="1" xfId="0" applyNumberFormat="1" applyFont="1" applyFill="1" applyBorder="1" applyAlignment="1">
      <x:alignment wrapText="1"/>
    </x:xf>
    <x:xf numFmtId="0" fontId="0" fillId="20" borderId="1" xfId="0" applyNumberFormat="1" applyFont="1" applyFill="1" applyBorder="1" applyAlignment="1">
      <x:alignment wrapText="1"/>
    </x:xf>
    <x:xf numFmtId="0" fontId="4" fillId="20" borderId="1" xfId="0" applyNumberFormat="1" applyFont="1" applyFill="1" applyBorder="1" applyAlignment="1">
      <x:alignment wrapText="1"/>
    </x:xf>
    <x:xf numFmtId="0" fontId="5" fillId="2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96f6dbbf4046c0" /><Relationship Type="http://schemas.openxmlformats.org/officeDocument/2006/relationships/theme" Target="/xl/theme/theme1.xml" Id="Ra67f64f3dc02449a" /><Relationship Type="http://schemas.openxmlformats.org/officeDocument/2006/relationships/sharedStrings" Target="/xl/sharedStrings.xml" Id="Rfbd8bbb8e52d4eaf" /><Relationship Type="http://schemas.openxmlformats.org/officeDocument/2006/relationships/worksheet" Target="/xl/worksheets/sheet1.xml" Id="R055299b14d3a4c35" /><Relationship Type="http://schemas.openxmlformats.org/officeDocument/2006/relationships/worksheet" Target="/xl/worksheets/sheet2.xml" Id="R37c0ee1ab51d4f6a" /><Relationship Type="http://schemas.openxmlformats.org/officeDocument/2006/relationships/worksheet" Target="/xl/worksheets/sheet3.xml" Id="R114a853bdebb48ff" /><Relationship Type="http://schemas.openxmlformats.org/officeDocument/2006/relationships/worksheet" Target="/xl/worksheets/sheet4.xml" Id="Rbc81dbee3ff44ddb" /><Relationship Type="http://schemas.openxmlformats.org/officeDocument/2006/relationships/worksheet" Target="/xl/worksheets/sheet5.xml" Id="R5338cc252e1c45f2" /><Relationship Type="http://schemas.openxmlformats.org/officeDocument/2006/relationships/worksheet" Target="/xl/worksheets/sheet6.xml" Id="R7baef8fe756042cd" /><Relationship Type="http://schemas.openxmlformats.org/officeDocument/2006/relationships/worksheet" Target="/xl/worksheets/sheet7.xml" Id="R513e387b6da24a3b" /><Relationship Type="http://schemas.openxmlformats.org/officeDocument/2006/relationships/worksheet" Target="/xl/worksheets/sheet8.xml" Id="Rf77ae37d58db4286" /><Relationship Type="http://schemas.openxmlformats.org/officeDocument/2006/relationships/worksheet" Target="/xl/worksheets/sheet9.xml" Id="Raf9ebd4db6d04a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54" hidden="0" customWidth="1"/>
    <x:col min="4" max="4" width="92" hidden="0" customWidth="1"/>
    <x:col min="5" max="5" width="24" hidden="0" customWidth="1"/>
  </x:cols>
  <x:sheetData>
    <x:row r="1" ht="18" hidden="0" customHeight="1">
      <x:c r="A1" s="54" t="str">
        <x:v>00 Каталог решаторов УМ</x:v>
      </x:c>
      <x:c r="B1" s="54" t="str">
        <x:v>00 Каталог решаторов УМ</x:v>
      </x:c>
      <x:c r="C1" s="54" t="str">
        <x:v>00 Каталог решаторов УМ</x:v>
      </x:c>
      <x:c r="D1" s="54" t="str">
        <x:v>00 Каталог решаторов УМ</x:v>
      </x:c>
      <x:c r="E1" s="54" t="str">
        <x:v>00 Каталог решаторов УМ</x:v>
      </x:c>
    </x:row>
    <x:row r="2" ht="15" hidden="0" customHeight="1">
      <x:c r="A2" s="56" t="str">
        <x:v>Навигационный лист: полный каталог типовых решаторов УМ / Управленческой математики и статус текущего файла.</x:v>
      </x:c>
      <x:c r="B2" s="56" t="str">
        <x:v>Навигационный лист: полный каталог типовых решаторов УМ / Управленческой математики и статус текущего файла.</x:v>
      </x:c>
      <x:c r="C2" s="56" t="str">
        <x:v>Навигационный лист: полный каталог типовых решаторов УМ / Управленческой математики и статус текущего файла.</x:v>
      </x:c>
      <x:c r="D2" s="56" t="str">
        <x:v>Навигационный лист: полный каталог типовых решаторов УМ / Управленческой математики и статус текущего файла.</x:v>
      </x:c>
      <x:c r="E2" s="56" t="str">
        <x:v>Навигационный лист: полный каталог типовых решаторов УМ / Управленческой математики и статус текущего файла.</x:v>
      </x:c>
    </x:row>
    <x:row r="3"/>
    <x:row r="4" ht="15" hidden="0" customHeight="1">
      <x:c r="A4" s="61" t="str">
        <x:v>№</x:v>
      </x:c>
      <x:c r="B4" s="61" t="str">
        <x:v>Группа задач</x:v>
      </x:c>
      <x:c r="C4" s="61" t="str">
        <x:v>Название решатора</x:v>
      </x:c>
      <x:c r="D4" s="61" t="str">
        <x:v>Что показывает</x:v>
      </x:c>
      <x:c r="E4" s="61" t="str">
        <x:v>Статус</x:v>
      </x:c>
    </x:row>
    <x:row r="5" ht="15" hidden="0" customHeight="1">
      <x:c r="A5" s="62" t="n">
        <x:v>1</x:v>
      </x:c>
      <x:c r="B5" s="62" t="str">
        <x:v>Коммерческие условия</x:v>
      </x:c>
      <x:c r="C5" s="62" t="str">
        <x:v>Скидка и отсрочка клиента</x:v>
      </x:c>
      <x:c r="D5" s="62" t="str">
        <x:v>Какой рост закупки нужен, чтобы скидка и отсрочка не ухудшили результат.</x:v>
      </x:c>
      <x:c r="E5" s="62" t="str">
        <x:v>Создан</x:v>
      </x:c>
    </x:row>
    <x:row r="6" ht="15" hidden="0" customHeight="1">
      <x:c r="A6" s="62" t="n">
        <x:v>2</x:v>
      </x:c>
      <x:c r="B6" s="62" t="str">
        <x:v>Коммерческие условия</x:v>
      </x:c>
      <x:c r="C6" s="62" t="str">
        <x:v>Минимальный объем для спецусловий</x:v>
      </x:c>
      <x:c r="D6" s="62" t="str">
        <x:v>При каком объеме можно дать цену, бонус, отсрочку или индивидуальные условия.</x:v>
      </x:c>
      <x:c r="E6" s="62" t="str">
        <x:v>Создан</x:v>
      </x:c>
    </x:row>
    <x:row r="7" ht="15" hidden="0" customHeight="1">
      <x:c r="A7" s="65" t="n">
        <x:v>3</x:v>
      </x:c>
      <x:c r="B7" s="65" t="str">
        <x:v>Коммерческие условия</x:v>
      </x:c>
      <x:c r="C7" s="65" t="str">
        <x:v>Цена сделки после всех условий</x:v>
      </x:c>
      <x:c r="D7" s="65" t="str">
        <x:v>Реальную прибыльность клиента после скидок, бонусов, логистики и отсрочки.</x:v>
      </x:c>
      <x:c r="E7" s="65" t="str">
        <x:v>Текущий файл</x:v>
      </x:c>
    </x:row>
    <x:row r="8" ht="15" hidden="0" customHeight="1">
      <x:c r="A8" s="62" t="n">
        <x:v>4</x:v>
      </x:c>
      <x:c r="B8" s="62" t="str">
        <x:v>Маркетинг и каналы</x:v>
      </x:c>
      <x:c r="C8" s="62" t="str">
        <x:v>Рекламный бюджет и ROMI / возврат маркетинговых инвестиций</x:v>
      </x:c>
      <x:c r="D8" s="62" t="str">
        <x:v>Какой объем продаж нужен, чтобы рекламный бюджет окупился.</x:v>
      </x:c>
      <x:c r="E8" s="62" t="str">
        <x:v>Создан</x:v>
      </x:c>
    </x:row>
    <x:row r="9" ht="15" hidden="0" customHeight="1">
      <x:c r="A9" s="62" t="n">
        <x:v>5</x:v>
      </x:c>
      <x:c r="B9" s="62" t="str">
        <x:v>Маркетинг и каналы</x:v>
      </x:c>
      <x:c r="C9" s="62" t="str">
        <x:v>Промо-акция без потери прибыли</x:v>
      </x:c>
      <x:c r="D9" s="62" t="str">
        <x:v>Какой рост продаж должен компенсировать скидку, промо и дополнительные расходы.</x:v>
      </x:c>
      <x:c r="E9" s="62" t="str">
        <x:v>Создан</x:v>
      </x:c>
    </x:row>
    <x:row r="10" ht="15" hidden="0" customHeight="1">
      <x:c r="A10" s="62" t="n">
        <x:v>6</x:v>
      </x:c>
      <x:c r="B10" s="62" t="str">
        <x:v>Маркетинг и каналы</x:v>
      </x:c>
      <x:c r="C10" s="62" t="str">
        <x:v>Канал продаж: выгодно или нет</x:v>
      </x:c>
      <x:c r="D10" s="62" t="str">
        <x:v>Чистый результат канала после комиссии, логистики, возвратов и налогового контура.</x:v>
      </x:c>
      <x:c r="E10" s="62" t="str">
        <x:v>Создан</x:v>
      </x:c>
    </x:row>
    <x:row r="11" ht="15" hidden="0" customHeight="1">
      <x:c r="A11" s="62" t="n">
        <x:v>7</x:v>
      </x:c>
      <x:c r="B11" s="62" t="str">
        <x:v>Маркетплейсы</x:v>
      </x:c>
      <x:c r="C11" s="62" t="str">
        <x:v>Маркетплейс: цена, комиссия, логистика</x:v>
      </x:c>
      <x:c r="D11" s="62" t="str">
        <x:v>Реальную маржу SKU / товарной позиции на маркетплейсе.</x:v>
      </x:c>
      <x:c r="E11" s="62" t="str">
        <x:v>Создан</x:v>
      </x:c>
    </x:row>
    <x:row r="12" ht="15" hidden="0" customHeight="1">
      <x:c r="A12" s="62" t="n">
        <x:v>8</x:v>
      </x:c>
      <x:c r="B12" s="62" t="str">
        <x:v>Маркетплейсы</x:v>
      </x:c>
      <x:c r="C12" s="62" t="str">
        <x:v>Участие в акции маркетплейса</x:v>
      </x:c>
      <x:c r="D12" s="62" t="str">
        <x:v>Можно ли входить в акцию и какой рост продаж нужен для сохранения результата.</x:v>
      </x:c>
      <x:c r="E12" s="62" t="str">
        <x:v>Создан</x:v>
      </x:c>
    </x:row>
    <x:row r="13" ht="15" hidden="0" customHeight="1">
      <x:c r="A13" s="62" t="n">
        <x:v>9</x:v>
      </x:c>
      <x:c r="B13" s="62" t="str">
        <x:v>Ассортимент и продукт</x:v>
      </x:c>
      <x:c r="C13" s="62" t="str">
        <x:v>SKU: оставить, поднять цену или убрать</x:v>
      </x:c>
      <x:c r="D13" s="62" t="str">
        <x:v>Какие товарные позиции создают результат, а какие съедают деньги.</x:v>
      </x:c>
      <x:c r="E13" s="62" t="str">
        <x:v>Создан</x:v>
      </x:c>
    </x:row>
    <x:row r="14" ht="15" hidden="0" customHeight="1">
      <x:c r="A14" s="62" t="n">
        <x:v>10</x:v>
      </x:c>
      <x:c r="B14" s="62" t="str">
        <x:v>Ассортимент и продукт</x:v>
      </x:c>
      <x:c r="C14" s="62" t="str">
        <x:v>Новый продукт: точка допустимого запуска</x:v>
      </x:c>
      <x:c r="D14" s="62" t="str">
        <x:v>Минимальный объем, цена и маржа для запуска продукта.</x:v>
      </x:c>
      <x:c r="E14" s="62" t="str">
        <x:v>Создан</x:v>
      </x:c>
    </x:row>
    <x:row r="15" ht="15" hidden="0" customHeight="1">
      <x:c r="A15" s="62" t="n">
        <x:v>11</x:v>
      </x:c>
      <x:c r="B15" s="62" t="str">
        <x:v>Операции и логистика</x:v>
      </x:c>
      <x:c r="C15" s="62" t="str">
        <x:v>Запас и оборачиваемость</x:v>
      </x:c>
      <x:c r="D15" s="62" t="str">
        <x:v>Сколько денег замораживает запас и где начинается лишняя складская нагрузка.</x:v>
      </x:c>
      <x:c r="E15" s="62" t="str">
        <x:v>Создан</x:v>
      </x:c>
    </x:row>
    <x:row r="16" ht="15" hidden="0" customHeight="1">
      <x:c r="A16" s="62" t="n">
        <x:v>12</x:v>
      </x:c>
      <x:c r="B16" s="62" t="str">
        <x:v>Операции и логистика</x:v>
      </x:c>
      <x:c r="C16" s="62" t="str">
        <x:v>Производственная партия</x:v>
      </x:c>
      <x:c r="D16" s="62" t="str">
        <x:v>При каком объеме партия покрывает себестоимость, брак, логистику и операционные ограничения.</x:v>
      </x:c>
      <x:c r="E16" s="62" t="str">
        <x:v>Создан</x:v>
      </x:c>
    </x:row>
    <x:row r="17" ht="15" hidden="0" customHeight="1">
      <x:c r="A17" s="62" t="n">
        <x:v>13</x:v>
      </x:c>
      <x:c r="B17" s="62" t="str">
        <x:v>Операции и логистика</x:v>
      </x:c>
      <x:c r="C17" s="62" t="str">
        <x:v>SLA / уровень сервиса и цена выполнения</x:v>
      </x:c>
      <x:c r="D17" s="62" t="str">
        <x:v>Сколько стоит повышенный уровень сервиса и можно ли его обещать клиенту.</x:v>
      </x:c>
      <x:c r="E17" s="62" t="str">
        <x:v>Создан</x:v>
      </x:c>
    </x:row>
    <x:row r="18" ht="15" hidden="0" customHeight="1">
      <x:c r="A18" s="62" t="n">
        <x:v>14</x:v>
      </x:c>
      <x:c r="B18" s="62" t="str">
        <x:v>Финансы и деньги</x:v>
      </x:c>
      <x:c r="C18" s="62" t="str">
        <x:v>Денежный разрыв по решению</x:v>
      </x:c>
      <x:c r="D18" s="62" t="str">
        <x:v>Сколько денег нужно до поступления оплаты и выдерживает ли компания кассовый контур.</x:v>
      </x:c>
      <x:c r="E18" s="62" t="str">
        <x:v>Создан</x:v>
      </x:c>
    </x:row>
    <x:row r="19" ht="15" hidden="0" customHeight="1">
      <x:c r="A19" s="62" t="n">
        <x:v>15</x:v>
      </x:c>
      <x:c r="B19" s="62" t="str">
        <x:v>Финансы и деньги</x:v>
      </x:c>
      <x:c r="C19" s="62" t="str">
        <x:v>НДС и налоговый контур при ОСНО</x:v>
      </x:c>
      <x:c r="D19" s="62" t="str">
        <x:v>Как налоговый режим влияет на чистый результат и денежный поток.</x:v>
      </x:c>
      <x:c r="E19" s="62" t="str">
        <x:v>Создан</x:v>
      </x:c>
    </x:row>
    <x:row r="20" ht="15" hidden="0" customHeight="1">
      <x:c r="A20" s="62" t="n">
        <x:v>16</x:v>
      </x:c>
      <x:c r="B20" s="62" t="str">
        <x:v>Финансы и деньги</x:v>
      </x:c>
      <x:c r="C20" s="62" t="str">
        <x:v>ROI / возврат инвестиций и срок окупаемости</x:v>
      </x:c>
      <x:c r="D20" s="62" t="str">
        <x:v>Окупается ли вложение и при каких сценариях оно становится недопустимым.</x:v>
      </x:c>
      <x:c r="E20" s="62" t="str">
        <x:v>Создан</x:v>
      </x:c>
    </x:row>
    <x:row r="21" ht="15" hidden="0" customHeight="1">
      <x:c r="A21" s="62" t="n">
        <x:v>17</x:v>
      </x:c>
      <x:c r="B21" s="62" t="str">
        <x:v>Специальные решения</x:v>
      </x:c>
      <x:c r="C21" s="62" t="str">
        <x:v>TCO / совокупная стоимость владения проекта</x:v>
      </x:c>
      <x:c r="D21" s="62" t="str">
        <x:v>Полную стоимость решения: покупка, внедрение, поддержка, люди, риски.</x:v>
      </x:c>
      <x:c r="E21" s="62" t="str">
        <x:v>Создан</x:v>
      </x:c>
    </x:row>
    <x:row r="22" ht="15" hidden="0" customHeight="1">
      <x:c r="A22" s="62" t="n">
        <x:v>18</x:v>
      </x:c>
      <x:c r="B22" s="62" t="str">
        <x:v>Специальные решения</x:v>
      </x:c>
      <x:c r="C22" s="62" t="str">
        <x:v>Найм / подрядчик / автоматизация</x:v>
      </x:c>
      <x:c r="D22" s="62" t="str">
        <x:v>Что выгоднее: человек, подрядчик, автоматизация или отказ от инициативы.</x:v>
      </x:c>
      <x:c r="E22" s="62" t="str">
        <x:v>Создан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6" hidden="0" customWidth="1"/>
    <x:col min="3" max="3" width="20" hidden="0" customWidth="1"/>
    <x:col min="4" max="4" width="14" hidden="0" customWidth="1"/>
    <x:col min="5" max="5" width="58" hidden="0" customWidth="1"/>
    <x:col min="6" max="6" width="16" hidden="0" customWidth="1"/>
  </x:cols>
  <x:sheetData>
    <x:row r="1" ht="18" hidden="0" customHeight="1">
      <x:c r="A1" s="4" t="str">
        <x:v>УМ решатор: цена сделки после всех условий</x:v>
      </x:c>
      <x:c r="B1" s="4" t="str">
        <x:v>УМ решатор: цена сделки после всех условий</x:v>
      </x:c>
      <x:c r="C1" s="4" t="str">
        <x:v>УМ решатор: цена сделки после всех условий</x:v>
      </x:c>
      <x:c r="D1" s="4" t="str">
        <x:v>УМ решатор: цена сделки после всех условий</x:v>
      </x:c>
      <x:c r="E1" s="4" t="str">
        <x:v>УМ решатор: цена сделки после всех условий</x:v>
      </x:c>
      <x:c r="F1" s="4" t="str">
        <x:v>УМ решатор: цена сделки после всех условий</x:v>
      </x:c>
    </x:row>
    <x:row r="2" ht="15" hidden="0" customHeight="1">
      <x:c r="A2" s="6" t="str">
        <x:v>Показывает реальную прибыльность сделки после скидок, бонусов, логистики, отсрочки и налогового контура.</x:v>
      </x:c>
      <x:c r="B2" s="6" t="str">
        <x:v>Показывает реальную прибыльность сделки после скидок, бонусов, логистики, отсрочки и налогового контура.</x:v>
      </x:c>
      <x:c r="C2" s="6" t="str">
        <x:v>Показывает реальную прибыльность сделки после скидок, бонусов, логистики, отсрочки и налогового контура.</x:v>
      </x:c>
      <x:c r="D2" s="6" t="str">
        <x:v>Показывает реальную прибыльность сделки после скидок, бонусов, логистики, отсрочки и налогового контура.</x:v>
      </x:c>
      <x:c r="E2" s="6" t="str">
        <x:v>Показывает реальную прибыльность сделки после скидок, бонусов, логистики, отсрочки и налогового контура.</x:v>
      </x:c>
      <x:c r="F2" s="6" t="str">
        <x:v>Показывает реальную прибыльность сделки после скидок, бонусов, логистики, отсрочки и налогового контура.</x:v>
      </x:c>
    </x:row>
    <x:row r="3"/>
    <x:row r="4" ht="15" hidden="0" customHeight="1">
      <x:c r="A4" s="11" t="str">
        <x:v>Блок</x:v>
      </x:c>
      <x:c r="B4" s="11" t="str">
        <x:v>Показатель</x:v>
      </x:c>
      <x:c r="C4" s="11" t="str">
        <x:v>Значение</x:v>
      </x:c>
      <x:c r="D4" s="11" t="str">
        <x:v>Ед.</x:v>
      </x:c>
      <x:c r="E4" s="11" t="str">
        <x:v>Комментарий</x:v>
      </x:c>
      <x:c r="F4" s="11" t="str">
        <x:v>Статус</x:v>
      </x:c>
    </x:row>
    <x:row r="5" ht="15" hidden="0" customHeight="1">
      <x:c r="A5" s="13" t="str">
        <x:v>Сделка</x:v>
      </x:c>
      <x:c r="B5" s="13" t="str">
        <x:v>Выручка сделки без НДС до скидки</x:v>
      </x:c>
      <x:c r="C5" s="19" t="n">
        <x:v>10000000</x:v>
      </x:c>
      <x:c r="D5" s="13" t="str">
        <x:v>руб.</x:v>
      </x:c>
      <x:c r="E5" s="13" t="str">
        <x:v>Сумма сделки без НДС.</x:v>
      </x:c>
      <x:c r="F5" s="13" t="str">
        <x:v>Ввод</x:v>
      </x:c>
    </x:row>
    <x:row r="6" ht="15" hidden="0" customHeight="1">
      <x:c r="A6" s="13" t="str">
        <x:v>Себестоимость</x:v>
      </x:c>
      <x:c r="B6" s="13" t="str">
        <x:v>Себестоимость сделки</x:v>
      </x:c>
      <x:c r="C6" s="19" t="n">
        <x:v>6500000</x:v>
      </x:c>
      <x:c r="D6" s="13" t="str">
        <x:v>руб.</x:v>
      </x:c>
      <x:c r="E6" s="13" t="str">
        <x:v>Себестоимость без НДС.</x:v>
      </x:c>
      <x:c r="F6" s="13" t="str">
        <x:v>Ввод</x:v>
      </x:c>
    </x:row>
    <x:row r="7" ht="15" hidden="0" customHeight="1">
      <x:c r="A7" s="13" t="str">
        <x:v>Условие</x:v>
      </x:c>
      <x:c r="B7" s="13" t="str">
        <x:v>Скидка</x:v>
      </x:c>
      <x:c r="C7" s="20" t="n">
        <x:v>0.08</x:v>
      </x:c>
      <x:c r="D7" s="13" t="str">
        <x:v>%</x:v>
      </x:c>
      <x:c r="E7" s="13" t="str">
        <x:v>Скидка клиенту.</x:v>
      </x:c>
      <x:c r="F7" s="13" t="str">
        <x:v>Ввод</x:v>
      </x:c>
    </x:row>
    <x:row r="8" ht="15" hidden="0" customHeight="1">
      <x:c r="A8" s="13" t="str">
        <x:v>Условие</x:v>
      </x:c>
      <x:c r="B8" s="13" t="str">
        <x:v>Бонус / ретро</x:v>
      </x:c>
      <x:c r="C8" s="19" t="n">
        <x:v>300000</x:v>
      </x:c>
      <x:c r="D8" s="13" t="str">
        <x:v>руб.</x:v>
      </x:c>
      <x:c r="E8" s="13" t="str">
        <x:v>Дополнительные выплаты клиенту.</x:v>
      </x:c>
      <x:c r="F8" s="13" t="str">
        <x:v>Ввод</x:v>
      </x:c>
    </x:row>
    <x:row r="9" ht="15" hidden="0" customHeight="1">
      <x:c r="A9" s="13" t="str">
        <x:v>Логистика</x:v>
      </x:c>
      <x:c r="B9" s="13" t="str">
        <x:v>Дополнительная логистика</x:v>
      </x:c>
      <x:c r="C9" s="19" t="n">
        <x:v>500000</x:v>
      </x:c>
      <x:c r="D9" s="13" t="str">
        <x:v>руб.</x:v>
      </x:c>
      <x:c r="E9" s="13" t="str">
        <x:v>Доставка и сервис.</x:v>
      </x:c>
      <x:c r="F9" s="13" t="str">
        <x:v>Ввод</x:v>
      </x:c>
    </x:row>
    <x:row r="10" ht="15" hidden="0" customHeight="1">
      <x:c r="A10" s="13" t="str">
        <x:v>Оплата</x:v>
      </x:c>
      <x:c r="B10" s="13" t="str">
        <x:v>Отсрочка платежа</x:v>
      </x:c>
      <x:c r="C10" s="19" t="n">
        <x:v>60</x:v>
      </x:c>
      <x:c r="D10" s="13" t="str">
        <x:v>дней</x:v>
      </x:c>
      <x:c r="E10" s="13" t="str">
        <x:v>Срок оплаты клиента.</x:v>
      </x:c>
      <x:c r="F10" s="13" t="str">
        <x:v>Ввод</x:v>
      </x:c>
    </x:row>
    <x:row r="11" ht="15" hidden="0" customHeight="1">
      <x:c r="A11" s="13" t="str">
        <x:v>Деньги</x:v>
      </x:c>
      <x:c r="B11" s="13" t="str">
        <x:v>Стоимость денег годовая</x:v>
      </x:c>
      <x:c r="C11" s="20" t="n">
        <x:v>0.2</x:v>
      </x:c>
      <x:c r="D11" s="13" t="str">
        <x:v>%</x:v>
      </x:c>
      <x:c r="E11" s="13" t="str">
        <x:v>Цена финансирования отсрочки.</x:v>
      </x:c>
      <x:c r="F11" s="13" t="str">
        <x:v>Ввод</x:v>
      </x:c>
    </x:row>
    <x:row r="12" ht="15" hidden="0" customHeight="1">
      <x:c r="A12" s="13" t="str">
        <x:v>Порог</x:v>
      </x:c>
      <x:c r="B12" s="13" t="str">
        <x:v>Целевая маржа сделки</x:v>
      </x:c>
      <x:c r="C12" s="20" t="n">
        <x:v>0.15</x:v>
      </x:c>
      <x:c r="D12" s="13" t="str">
        <x:v>%</x:v>
      </x:c>
      <x:c r="E12" s="13" t="str">
        <x:v>Минимальная маржа после всех условий.</x:v>
      </x:c>
      <x:c r="F12" s="13" t="str">
        <x:v>Ввод</x:v>
      </x:c>
    </x:row>
    <x:row r="13" ht="15" hidden="0" customHeight="1">
      <x:c r="A13" s="13" t="str">
        <x:v>Факт</x:v>
      </x:c>
      <x:c r="B13" s="13" t="str">
        <x:v>Налоговый режим</x:v>
      </x:c>
      <x:c r="C13" s="18" t="str">
        <x:v>ОСНО</x:v>
      </x:c>
      <x:c r="D13" s="13" t="str">
        <x:v>режим</x:v>
      </x:c>
      <x:c r="E13" s="13" t="str">
        <x:v>При ОСНО НДС отдельно в денежном контуре.</x:v>
      </x:c>
      <x:c r="F13" s="13" t="str">
        <x:v>Ввод</x:v>
      </x:c>
    </x:row>
    <x:row r="14" ht="15" hidden="0" customHeight="1">
      <x:c r="A14" s="13" t="str">
        <x:v>Допущение</x:v>
      </x:c>
      <x:c r="B14" s="13" t="str">
        <x:v>Ставка НДС</x:v>
      </x:c>
      <x:c r="C14" s="20" t="n">
        <x:v>0.22</x:v>
      </x:c>
      <x:c r="D14" s="13" t="str">
        <x:v>%</x:v>
      </x:c>
      <x:c r="E14" s="13" t="str">
        <x:v>НДС расчетно.</x:v>
      </x:c>
      <x:c r="F14" s="13" t="str">
        <x:v>Ввод</x:v>
      </x:c>
    </x:row>
    <x:row r="15" ht="15" hidden="0" customHeight="1">
      <x:c r="A15" s="13" t="str">
        <x:v>Качество данных</x:v>
      </x:c>
      <x:c r="B15" s="13" t="str">
        <x:v>Условия подтверждены</x:v>
      </x:c>
      <x:c r="C15" s="18" t="str">
        <x:v>Да</x:v>
      </x:c>
      <x:c r="D15" s="13" t="str">
        <x:v>Да/Нет</x:v>
      </x:c>
      <x:c r="E15" s="13" t="str">
        <x:v>Подтверждены скидки, бонусы, логистика.</x:v>
      </x:c>
      <x:c r="F15" s="13" t="str">
        <x:v>Ввод</x:v>
      </x:c>
    </x:row>
    <x:row r="16" ht="15" hidden="0" customHeight="1">
      <x:c r="A16" s="13" t="str">
        <x:v>Контроль</x:v>
      </x:c>
      <x:c r="B16" s="13" t="str">
        <x:v>Дата первого контроля</x:v>
      </x:c>
      <x:c r="C16" s="21" t="n">
        <x:v>46235</x:v>
      </x:c>
      <x:c r="D16" s="13" t="str">
        <x:v>дата</x:v>
      </x:c>
      <x:c r="E16" s="13" t="str">
        <x:v>Дата проверки сделки.</x:v>
      </x:c>
      <x:c r="F16" s="13" t="str">
        <x:v>Ввод</x:v>
      </x:c>
    </x:row>
    <x:row r="17" ht="15" hidden="0" customHeight="1">
      <x:c r="A17" s="13" t="str">
        <x:v>Ответственный</x:v>
      </x:c>
      <x:c r="B17" s="13" t="str">
        <x:v>Коммерческий директор</x:v>
      </x:c>
      <x:c r="C17" s="18" t="str">
        <x:v>Коммерческий директор</x:v>
      </x:c>
      <x:c r="D17" s="13" t="str">
        <x:v>роль</x:v>
      </x:c>
      <x:c r="E17" s="13" t="str">
        <x:v>Отвечает за сделку.</x:v>
      </x:c>
      <x:c r="F17" s="13" t="str">
        <x:v>Ввод</x:v>
      </x:c>
    </x:row>
  </x:sheetData>
  <x:mergeCells>
    <x:mergeCell ref="A1:F1"/>
    <x:mergeCell ref="A2:F2"/>
  </x:mergeCells>
  <x:dataValidations count="1">
    <x:dataValidation type="list" sqref="C15">
      <x:formula1>"Да,Нет"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42" hidden="0" customWidth="1"/>
    <x:col min="3" max="3" width="22" hidden="0" customWidth="1"/>
    <x:col min="4" max="4" width="14" hidden="0" customWidth="1"/>
    <x:col min="5" max="5" width="62" hidden="0" customWidth="1"/>
  </x:cols>
  <x:sheetData>
    <x:row r="1" ht="18" hidden="0" customHeight="1">
      <x:c r="A1" s="4" t="str">
        <x:v>02 Расчет</x:v>
      </x:c>
      <x:c r="B1" s="4" t="str">
        <x:v>02 Расчет</x:v>
      </x:c>
      <x:c r="C1" s="4" t="str">
        <x:v>02 Расчет</x:v>
      </x:c>
      <x:c r="D1" s="4" t="str">
        <x:v>02 Расчет</x:v>
      </x:c>
      <x:c r="E1" s="4" t="str">
        <x:v>02 Расчет</x:v>
      </x:c>
    </x:row>
    <x:row r="2" ht="15" hidden="0" customHeight="1">
      <x:c r="A2" s="6" t="str">
        <x:v>Расчет переводит управленческий запрос в порог, сценарии и статус.</x:v>
      </x:c>
      <x:c r="B2" s="6" t="str">
        <x:v>Расчет переводит управленческий запрос в порог, сценарии и статус.</x:v>
      </x:c>
      <x:c r="C2" s="6" t="str">
        <x:v>Расчет переводит управленческий запрос в порог, сценарии и статус.</x:v>
      </x:c>
      <x:c r="D2" s="6" t="str">
        <x:v>Расчет переводит управленческий запрос в порог, сценарии и статус.</x:v>
      </x:c>
      <x:c r="E2" s="6" t="str">
        <x:v>Расчет переводит управленческий запрос в порог, сценарии и статус.</x:v>
      </x:c>
    </x:row>
    <x:row r="3"/>
    <x:row r="4" ht="15" hidden="0" customHeight="1">
      <x:c r="A4" s="11" t="str">
        <x:v>Блок</x:v>
      </x:c>
      <x:c r="B4" s="11" t="str">
        <x:v>Показатель</x:v>
      </x:c>
      <x:c r="C4" s="11" t="str">
        <x:v>Значение</x:v>
      </x:c>
      <x:c r="D4" s="11" t="str">
        <x:v>Ед.</x:v>
      </x:c>
      <x:c r="E4" s="11" t="str">
        <x:v>Формула / смысл</x:v>
      </x:c>
    </x:row>
    <x:row r="5" ht="15" hidden="0" customHeight="1">
      <x:c r="A5" s="13" t="str">
        <x:v>Цена</x:v>
      </x:c>
      <x:c r="B5" s="13" t="str">
        <x:v>Выручка после скидки</x:v>
      </x:c>
      <x:c r="C5" s="23" t="n">
        <x:f>'01 Ввод'!C5*(1-'01 Ввод'!C7)</x:f>
        <x:v>9200000</x:v>
      </x:c>
      <x:c r="D5" s="13" t="str">
        <x:v>руб.</x:v>
      </x:c>
      <x:c r="E5" s="13" t="str">
        <x:v>Чистая выручка сделки без НДС.</x:v>
      </x:c>
    </x:row>
    <x:row r="6" ht="15" hidden="0" customHeight="1">
      <x:c r="A6" s="13" t="str">
        <x:v>Деньги</x:v>
      </x:c>
      <x:c r="B6" s="13" t="str">
        <x:v>Потребность денег из-за отсрочки</x:v>
      </x:c>
      <x:c r="C6" s="23" t="n">
        <x:f>C5*(1+'01 Ввод'!C14)*'01 Ввод'!C10/365</x:f>
        <x:v>1845041.095890411</x:v>
      </x:c>
      <x:c r="D6" s="13" t="str">
        <x:v>руб.</x:v>
      </x:c>
      <x:c r="E6" s="13" t="str">
        <x:v>Выручка с НДС × дни / 365.</x:v>
      </x:c>
    </x:row>
    <x:row r="7" ht="15" hidden="0" customHeight="1">
      <x:c r="A7" s="13" t="str">
        <x:v>Деньги</x:v>
      </x:c>
      <x:c r="B7" s="13" t="str">
        <x:v>Стоимость отсрочки</x:v>
      </x:c>
      <x:c r="C7" s="23" t="n">
        <x:f>C6*'01 Ввод'!C11</x:f>
        <x:v>369008.2191780822</x:v>
      </x:c>
      <x:c r="D7" s="13" t="str">
        <x:v>руб.</x:v>
      </x:c>
      <x:c r="E7" s="13" t="str">
        <x:v>Потребность × стоимость денег.</x:v>
      </x:c>
    </x:row>
    <x:row r="8" ht="15" hidden="0" customHeight="1">
      <x:c r="A8" s="13" t="str">
        <x:v>Итог</x:v>
      </x:c>
      <x:c r="B8" s="13" t="str">
        <x:v>Полная переменная нагрузка</x:v>
      </x:c>
      <x:c r="C8" s="23" t="n">
        <x:f>'01 Ввод'!C6+'01 Ввод'!C8+'01 Ввод'!C9+C7</x:f>
        <x:v>7669008.219178082</x:v>
      </x:c>
      <x:c r="D8" s="13" t="str">
        <x:v>руб.</x:v>
      </x:c>
      <x:c r="E8" s="13" t="str">
        <x:v>Себестоимость + бонус + логистика + стоимость отсрочки.</x:v>
      </x:c>
    </x:row>
    <x:row r="9" ht="15" hidden="0" customHeight="1">
      <x:c r="A9" s="13" t="str">
        <x:v>Итог</x:v>
      </x:c>
      <x:c r="B9" s="13" t="str">
        <x:v>Результат сделки</x:v>
      </x:c>
      <x:c r="C9" s="23" t="n">
        <x:f>C5-C8</x:f>
        <x:v>1530991.7808219176</x:v>
      </x:c>
      <x:c r="D9" s="13" t="str">
        <x:v>руб.</x:v>
      </x:c>
      <x:c r="E9" s="13" t="str">
        <x:v>Выручка после скидки - нагрузка.</x:v>
      </x:c>
    </x:row>
    <x:row r="10" ht="15" hidden="0" customHeight="1">
      <x:c r="A10" s="13" t="str">
        <x:v>Итог</x:v>
      </x:c>
      <x:c r="B10" s="13" t="str">
        <x:v>Маржа сделки</x:v>
      </x:c>
      <x:c r="C10" s="24" t="n">
        <x:f>IFERROR(C9/C5,0)</x:f>
        <x:v>0.16641215008933888</x:v>
      </x:c>
      <x:c r="D10" s="13" t="str">
        <x:v>%</x:v>
      </x:c>
      <x:c r="E10" s="13" t="str">
        <x:v>Результат / выручка после скидки.</x:v>
      </x:c>
    </x:row>
    <x:row r="11" ht="15" hidden="0" customHeight="1">
      <x:c r="A11" s="13" t="str">
        <x:v>Порог</x:v>
      </x:c>
      <x:c r="B11" s="13" t="str">
        <x:v>Минимальная выручка для целевой маржи</x:v>
      </x:c>
      <x:c r="C11" s="23" t="n">
        <x:f>IF(1-'01 Ввод'!C12&lt;=0,999999,C8/(1-'01 Ввод'!C12))</x:f>
        <x:v>9022362.610797744</x:v>
      </x:c>
      <x:c r="D11" s="13" t="str">
        <x:v>руб.</x:v>
      </x:c>
      <x:c r="E11" s="13" t="str">
        <x:v>Выручка, нужная для целевой маржи.</x:v>
      </x:c>
    </x:row>
    <x:row r="12" ht="15" hidden="0" customHeight="1">
      <x:c r="A12" s="13" t="str">
        <x:v>Дельта</x:v>
      </x:c>
      <x:c r="B12" s="13" t="str">
        <x:v>Запас к целевой марже</x:v>
      </x:c>
      <x:c r="C12" s="23" t="n">
        <x:f>C5-C11</x:f>
        <x:v>177637.38920225576</x:v>
      </x:c>
      <x:c r="D12" s="13" t="str">
        <x:v>руб.</x:v>
      </x:c>
      <x:c r="E12" s="13" t="str">
        <x:v>Текущая выручка после скидки - требуемая выручка.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0" hidden="0" customWidth="1"/>
    <x:col min="3" max="3" width="22" hidden="0" customWidth="1"/>
    <x:col min="4" max="4" width="22" hidden="0" customWidth="1"/>
    <x:col min="5" max="5" width="54" hidden="0" customWidth="1"/>
  </x:cols>
  <x:sheetData>
    <x:row r="1" ht="18" hidden="0" customHeight="1">
      <x:c r="A1" s="4" t="str">
        <x:v>03 Сценарии</x:v>
      </x:c>
      <x:c r="B1" s="4" t="str">
        <x:v>03 Сценарии</x:v>
      </x:c>
      <x:c r="C1" s="4" t="str">
        <x:v>03 Сценарии</x:v>
      </x:c>
      <x:c r="D1" s="4" t="str">
        <x:v>03 Сценарии</x:v>
      </x:c>
      <x:c r="E1" s="4" t="str">
        <x:v>03 Сценарии</x:v>
      </x:c>
    </x:row>
    <x:row r="2" ht="15" hidden="0" customHeight="1">
      <x:c r="A2" s="6" t="str">
        <x:v>Сценарии показывают, где решение проходит, а где требует условий.</x:v>
      </x:c>
      <x:c r="B2" s="6" t="str">
        <x:v>Сценарии показывают, где решение проходит, а где требует условий.</x:v>
      </x:c>
      <x:c r="C2" s="6" t="str">
        <x:v>Сценарии показывают, где решение проходит, а где требует условий.</x:v>
      </x:c>
      <x:c r="D2" s="6" t="str">
        <x:v>Сценарии показывают, где решение проходит, а где требует условий.</x:v>
      </x:c>
      <x:c r="E2" s="6" t="str">
        <x:v>Сценарии показывают, где решение проходит, а где требует условий.</x:v>
      </x:c>
    </x:row>
    <x:row r="3"/>
    <x:row r="4" ht="15" hidden="0" customHeight="1">
      <x:c r="A4" s="11" t="str">
        <x:v>Сценарий</x:v>
      </x:c>
      <x:c r="B4" s="11" t="str">
        <x:v>Параметр</x:v>
      </x:c>
      <x:c r="C4" s="11" t="str">
        <x:v>Результат</x:v>
      </x:c>
      <x:c r="D4" s="11" t="str">
        <x:v>Дельта</x:v>
      </x:c>
      <x:c r="E4" s="11" t="str">
        <x:v>Вывод</x:v>
      </x:c>
    </x:row>
    <x:row r="5" ht="15" hidden="0" customHeight="1">
      <x:c r="A5" s="13" t="str">
        <x:v>Без скидки</x:v>
      </x:c>
      <x:c r="B5" s="25" t="n">
        <x:f>0</x:f>
        <x:v>0</x:v>
      </x:c>
      <x:c r="C5" s="26" t="n">
        <x:f>'01 Ввод'!C5-'01 Ввод'!C6-'01 Ввод'!C8-'01 Ввод'!C9</x:f>
        <x:v>2700000</x:v>
      </x:c>
      <x:c r="D5" s="26" t="n">
        <x:f>C5</x:f>
        <x:v>2700000</x:v>
      </x:c>
      <x:c r="E5" s="13" t="str">
        <x:f>IF(C5&gt;=0,"проходит","не проходит")</x:f>
        <x:v>проходит</x:v>
      </x:c>
    </x:row>
    <x:row r="6" ht="15" hidden="0" customHeight="1">
      <x:c r="A6" s="13" t="str">
        <x:v>Текущая скидка</x:v>
      </x:c>
      <x:c r="B6" s="25" t="n">
        <x:f>'01 Ввод'!C7</x:f>
        <x:v>0.08</x:v>
      </x:c>
      <x:c r="C6" s="26" t="n">
        <x:f>'02 Расчет'!C9</x:f>
        <x:v>1530991.7808219176</x:v>
      </x:c>
      <x:c r="D6" s="26" t="n">
        <x:f>C6</x:f>
        <x:v>1530991.7808219176</x:v>
      </x:c>
      <x:c r="E6" s="13" t="str">
        <x:f>IF(C6&gt;=0,"проходит","не проходит")</x:f>
        <x:v>проходит</x:v>
      </x:c>
    </x:row>
    <x:row r="7" ht="15" hidden="0" customHeight="1">
      <x:c r="A7" s="13" t="str">
        <x:v>Скидка +5 п.п.</x:v>
      </x:c>
      <x:c r="B7" s="25" t="n">
        <x:f>'01 Ввод'!C7+0.05</x:f>
        <x:v>0.13</x:v>
      </x:c>
      <x:c r="C7" s="26" t="n">
        <x:f>'01 Ввод'!C5*(1-B7)-'02 Расчет'!C8</x:f>
        <x:v>1030991.7808219176</x:v>
      </x:c>
      <x:c r="D7" s="26" t="n">
        <x:f>C7</x:f>
        <x:v>1030991.7808219176</x:v>
      </x:c>
      <x:c r="E7" s="13" t="str">
        <x:f>IF(C7&gt;=0,"проходит","не проходит")</x:f>
        <x:v>проходит</x:v>
      </x:c>
    </x:row>
    <x:row r="8" ht="15" hidden="0" customHeight="1">
      <x:c r="A8" s="13" t="str">
        <x:v>Отсрочка 90 дней</x:v>
      </x:c>
      <x:c r="B8" s="25" t="n">
        <x:f>90</x:f>
        <x:v>90</x:v>
      </x:c>
      <x:c r="C8" s="26" t="n">
        <x:f>'02 Расчет'!C5-('01 Ввод'!C6+'01 Ввод'!C8+'01 Ввод'!C9+('02 Расчет'!C5*(1+'01 Ввод'!C14)*B8/365*'01 Ввод'!C11))</x:f>
        <x:v>1346487.6712328764</x:v>
      </x:c>
      <x:c r="D8" s="26" t="n">
        <x:f>C8</x:f>
        <x:v>1346487.6712328764</x:v>
      </x:c>
      <x:c r="E8" s="13" t="str">
        <x:f>IF(C8&gt;=0,"проходит","не проходит")</x:f>
        <x:v>проходит</x:v>
      </x:c>
    </x:row>
    <x:row r="9" ht="15" hidden="0" customHeight="1">
      <x:c r="A9" s="13" t="str">
        <x:v>Целевая выручка</x:v>
      </x:c>
      <x:c r="B9" s="25" t="n">
        <x:f>'02 Расчет'!C11</x:f>
        <x:v>9022362.610797744</x:v>
      </x:c>
      <x:c r="C9" s="26" t="n">
        <x:f>B9-'02 Расчет'!C8</x:f>
        <x:v>1353354.3916196618</x:v>
      </x:c>
      <x:c r="D9" s="26" t="n">
        <x:f>C9</x:f>
        <x:v>1353354.3916196618</x:v>
      </x:c>
      <x:c r="E9" s="13" t="str">
        <x:f>IF(C9&gt;=0,"проходит","не проходит")</x:f>
        <x:v>проходит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6" hidden="0" customWidth="1"/>
    <x:col min="3" max="3" width="24" hidden="0" customWidth="1"/>
    <x:col min="4" max="4" width="58" hidden="0" customWidth="1"/>
    <x:col min="5" max="5" width="28" hidden="0" customWidth="1"/>
  </x:cols>
  <x:sheetData>
    <x:row r="1" ht="18" hidden="0" customHeight="1">
      <x:c r="A1" s="4" t="str">
        <x:v>04 Контуры проверки УМ</x:v>
      </x:c>
      <x:c r="B1" s="4" t="str">
        <x:v>04 Контуры проверки УМ</x:v>
      </x:c>
      <x:c r="C1" s="4" t="str">
        <x:v>04 Контуры проверки УМ</x:v>
      </x:c>
      <x:c r="D1" s="4" t="str">
        <x:v>04 Контуры проверки УМ</x:v>
      </x:c>
      <x:c r="E1" s="4" t="str">
        <x:v>04 Контуры проверки УМ</x:v>
      </x:c>
    </x:row>
    <x:row r="2" ht="15" hidden="0" customHeight="1">
      <x:c r="A2" s="6" t="str">
        <x:v>Контуры показывают ограничения решения.</x:v>
      </x:c>
      <x:c r="B2" s="6" t="str">
        <x:v>Контуры показывают ограничения решения.</x:v>
      </x:c>
      <x:c r="C2" s="6" t="str">
        <x:v>Контуры показывают ограничения решения.</x:v>
      </x:c>
      <x:c r="D2" s="6" t="str">
        <x:v>Контуры показывают ограничения решения.</x:v>
      </x:c>
      <x:c r="E2" s="6" t="str">
        <x:v>Контуры показывают ограничения решения.</x:v>
      </x:c>
    </x:row>
    <x:row r="3"/>
    <x:row r="4" ht="15" hidden="0" customHeight="1">
      <x:c r="A4" s="11" t="str">
        <x:v>Контур</x:v>
      </x:c>
      <x:c r="B4" s="11" t="str">
        <x:v>Проверка</x:v>
      </x:c>
      <x:c r="C4" s="11" t="str">
        <x:v>Результат</x:v>
      </x:c>
      <x:c r="D4" s="11" t="str">
        <x:v>Как читать</x:v>
      </x:c>
      <x:c r="E4" s="11" t="str">
        <x:v>Ответственный</x:v>
      </x:c>
    </x:row>
    <x:row r="5" ht="15" hidden="0" customHeight="1">
      <x:c r="A5" s="13" t="str">
        <x:v>Маржа</x:v>
      </x:c>
      <x:c r="B5" s="13" t="str">
        <x:v>Маржа проходит порог</x:v>
      </x:c>
      <x:c r="C5" s="13" t="str">
        <x:f>IF('02 Расчет'!C10&gt;='01 Ввод'!C12,"ОК","Провал")</x:f>
        <x:v>ОК</x:v>
      </x:c>
      <x:c r="D5" s="13" t="str">
        <x:v>Если провал, решение нельзя запускать без условий.</x:v>
      </x:c>
      <x:c r="E5" s="13" t="str">
        <x:v>Ответственный владелец</x:v>
      </x:c>
    </x:row>
    <x:row r="6" ht="15" hidden="0" customHeight="1">
      <x:c r="A6" s="13" t="str">
        <x:v>Деньги</x:v>
      </x:c>
      <x:c r="B6" s="13" t="str">
        <x:v>Отсрочка учтена</x:v>
      </x:c>
      <x:c r="C6" s="13" t="str">
        <x:f>IF('02 Расчет'!C7&gt;=0,"ОК","Провал")</x:f>
        <x:v>ОК</x:v>
      </x:c>
      <x:c r="D6" s="13" t="str">
        <x:v>Если провал, решение нельзя запускать без условий.</x:v>
      </x:c>
      <x:c r="E6" s="13" t="str">
        <x:v>Ответственный владелец</x:v>
      </x:c>
    </x:row>
    <x:row r="7" ht="15" hidden="0" customHeight="1">
      <x:c r="A7" s="13" t="str">
        <x:v>Данные</x:v>
      </x:c>
      <x:c r="B7" s="13" t="str">
        <x:v>Условия подтверждены</x:v>
      </x:c>
      <x:c r="C7" s="13" t="str">
        <x:f>IF('01 Ввод'!C15="Да","ОК","Провал")</x:f>
        <x:v>ОК</x:v>
      </x:c>
      <x:c r="D7" s="13" t="str">
        <x:v>Если провал, решение нельзя запускать без условий.</x:v>
      </x:c>
      <x:c r="E7" s="13" t="str">
        <x:v>Ответственный владелец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2" hidden="0" customWidth="1"/>
    <x:col min="3" max="3" width="62" hidden="0" customWidth="1"/>
  </x:cols>
  <x:sheetData>
    <x:row r="1" ht="18" hidden="0" customHeight="1">
      <x:c r="A1" s="4" t="str">
        <x:v>05 Статус решения</x:v>
      </x:c>
      <x:c r="B1" s="4" t="str">
        <x:v>05 Статус решения</x:v>
      </x:c>
      <x:c r="C1" s="4" t="str">
        <x:v>05 Статус решения</x:v>
      </x:c>
    </x:row>
    <x:row r="2" ht="15" hidden="0" customHeight="1">
      <x:c r="A2" s="6" t="str">
        <x:v>Статус рассчитывается из порога, контуров и качества данных.</x:v>
      </x:c>
      <x:c r="B2" s="6" t="str">
        <x:v>Статус рассчитывается из порога, контуров и качества данных.</x:v>
      </x:c>
      <x:c r="C2" s="6" t="str">
        <x:v>Статус рассчитывается из порога, контуров и качества данных.</x:v>
      </x:c>
    </x:row>
    <x:row r="3"/>
    <x:row r="4" ht="15" hidden="0" customHeight="1">
      <x:c r="A4" s="11" t="str">
        <x:v>Проверка</x:v>
      </x:c>
      <x:c r="B4" s="11" t="str">
        <x:v>Значение</x:v>
      </x:c>
      <x:c r="C4" s="11" t="str">
        <x:v>Комментарий</x:v>
      </x:c>
    </x:row>
    <x:row r="5" ht="15" hidden="0" customHeight="1">
      <x:c r="A5" s="13" t="str">
        <x:v>Маржа сделки</x:v>
      </x:c>
      <x:c r="B5" s="49" t="n">
        <x:f>'02 Расчет'!C10</x:f>
        <x:v>0.16641215008933888</x:v>
      </x:c>
      <x:c r="C5" s="13" t="str">
        <x:v>Проверочный показатель.</x:v>
      </x:c>
    </x:row>
    <x:row r="6" ht="15" hidden="0" customHeight="1">
      <x:c r="A6" s="13" t="str">
        <x:v>Целевая маржа</x:v>
      </x:c>
      <x:c r="B6" s="49" t="n">
        <x:f>'01 Ввод'!C12</x:f>
        <x:v>0.15</x:v>
      </x:c>
      <x:c r="C6" s="13" t="str">
        <x:v>Проверочный показатель.</x:v>
      </x:c>
    </x:row>
    <x:row r="7" ht="15" hidden="0" customHeight="1">
      <x:c r="A7" s="13" t="str">
        <x:v>Результат сделки</x:v>
      </x:c>
      <x:c r="B7" s="49" t="n">
        <x:f>'02 Расчет'!C9</x:f>
        <x:v>1530991.7808219176</x:v>
      </x:c>
      <x:c r="C7" s="13" t="str">
        <x:v>Проверочный показатель.</x:v>
      </x:c>
    </x:row>
    <x:row r="8" ht="15" hidden="0" customHeight="1">
      <x:c r="A8" s="13" t="str">
        <x:v>Условия подтверждены</x:v>
      </x:c>
      <x:c r="B8" s="49" t="str">
        <x:f>'01 Ввод'!C15</x:f>
        <x:v>Да</x:v>
      </x:c>
      <x:c r="C8" s="13" t="str">
        <x:v>Проверочный показатель.</x:v>
      </x:c>
    </x:row>
    <x:row r="9" ht="15" hidden="0" customHeight="1">
      <x:c r="A9" s="28" t="str">
        <x:v>Статус решения</x:v>
      </x:c>
      <x:c r="B9" s="28" t="str">
        <x:f>IF(AND(B5&gt;=B6,B7&gt;0,B8="Да"),"Можно",IF(AND(B7&gt;0,B8="Да"),"Можно при условиях","Нельзя в текущей модели"))</x:f>
        <x:v>Можно</x:v>
      </x:c>
      <x:c r="C9" s="28" t="str">
        <x:v>Итоговый вердикт УМ.</x:v>
      </x:c>
    </x:row>
    <x:row r="10" ht="15" hidden="0" customHeight="1">
      <x:c r="A10" s="13"/>
      <x:c r="B10" s="13"/>
      <x:c r="C10" s="13"/>
    </x:row>
    <x:row r="11"/>
    <x:row r="12" ht="15" hidden="0" customHeight="1">
      <x:c r="A12" s="13" t="str">
        <x:v>Светофор</x:v>
      </x:c>
      <x:c r="B12" s="13"/>
    </x:row>
    <x:row r="13" ht="15" hidden="0" customHeight="1">
      <x:c r="A13" s="17" t="str">
        <x:v>Можно</x:v>
      </x:c>
      <x:c r="B13" s="17" t="str">
        <x:v>зеленый: расчет проходит</x:v>
      </x:c>
    </x:row>
    <x:row r="14" ht="26.399999618530273" hidden="0" customHeight="1">
      <x:c r="A14" s="28" t="str">
        <x:v>Можно при условиях</x:v>
      </x:c>
      <x:c r="B14" s="28" t="str">
        <x:v>желтый: запуск только при числовых условиях</x:v>
      </x:c>
    </x:row>
    <x:row r="15" ht="26.399999618530273" hidden="0" customHeight="1">
      <x:c r="A15" s="31" t="str">
        <x:v>Нельзя в текущей модели</x:v>
      </x:c>
      <x:c r="B15" s="31" t="str">
        <x:v>красный: текущие вводные не проходят расчет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6" hidden="0" customWidth="1"/>
  </x:cols>
  <x:sheetData>
    <x:row r="1" ht="18" hidden="0" customHeight="1">
      <x:c r="A1" s="4" t="str">
        <x:v>06 Управленческий ответ</x:v>
      </x:c>
      <x:c r="B1" s="4" t="str">
        <x:v>06 Управленческий ответ</x:v>
      </x:c>
    </x:row>
    <x:row r="2" ht="15" hidden="0" customHeight="1">
      <x:c r="A2" s="6" t="str">
        <x:v>Ответ формируется в управленческом языке: что разрешить, на каких условиях и что сказать адресату.</x:v>
      </x:c>
      <x:c r="B2" s="6" t="str">
        <x:v>Ответ формируется в управленческом языке: что разрешить, на каких условиях и что сказать адресату.</x:v>
      </x:c>
    </x:row>
    <x:row r="3"/>
    <x:row r="4" ht="15" hidden="0" customHeight="1">
      <x:c r="A4" s="11" t="str">
        <x:v>Блок ответа</x:v>
      </x:c>
      <x:c r="B4" s="11" t="str">
        <x:v>Текст</x:v>
      </x:c>
    </x:row>
    <x:row r="5" ht="15" hidden="0" customHeight="1">
      <x:c r="A5" s="17" t="str">
        <x:v>Короткий ответ</x:v>
      </x:c>
      <x:c r="B5" s="17" t="str">
        <x:f>"Сделка допустима только при марже не ниже "&amp;TEXT('01 Ввод'!C12,"0%")&amp;" после всех условий."</x:f>
        <x:v>Сделка допустима только при марже не ниже 15% после всех условий.</x:v>
      </x:c>
    </x:row>
    <x:row r="6" ht="15" hidden="0" customHeight="1">
      <x:c r="A6" s="27" t="str">
        <x:v>Условия</x:v>
      </x:c>
      <x:c r="B6" s="27" t="str">
        <x:f>"Фактическая маржа сделки: "&amp;TEXT('02 Расчет'!C10,"0.0%")&amp;"; результат сделки: "&amp;TEXT('02 Расчет'!C9,"#,##0")&amp;" руб."</x:f>
        <x:v>Фактическая маржа сделки: 16.6%; результат сделки: 1,530,992 руб.</x:v>
      </x:c>
    </x:row>
    <x:row r="7" ht="15" hidden="0" customHeight="1">
      <x:c r="A7" s="27" t="str">
        <x:v>Пояснение</x:v>
      </x:c>
      <x:c r="B7" s="33" t="str">
        <x:f>"УМ показывает не цену в договоре, а итоговую экономику после скидки, бонусов, логистики и отсрочки."</x:f>
        <x:v>УМ показывает не цену в договоре, а итоговую экономику после скидки, бонусов, логистики и отсрочки.</x:v>
      </x:c>
    </x:row>
    <x:row r="8" ht="15" hidden="0" customHeight="1">
      <x:c r="A8" s="27" t="str">
        <x:v>Если условия не принимаются</x:v>
      </x:c>
      <x:c r="B8" s="27" t="str">
        <x:f>IF('05 Статус'!B10="Нельзя в текущей модели","Не подписывать сделку в текущих условиях.","Если условия ухудшаются, сделка пересчитывается до подписания.")</x:f>
        <x:v>Если условия ухудшаются, сделка пересчитывается до подписания.</x:v>
      </x:c>
    </x:row>
    <x:row r="9" ht="15" hidden="0" customHeight="1">
      <x:c r="A9" s="13" t="str">
        <x:v>Что нельзя говорить</x:v>
      </x:c>
      <x:c r="B9" s="13" t="str">
        <x:v>Не принимать решение по обороту или обещаниям без расчета результата, денег и условий.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22" hidden="0" customWidth="1"/>
    <x:col min="4" max="4" width="22" hidden="0" customWidth="1"/>
    <x:col min="5" max="5" width="54" hidden="0" customWidth="1"/>
    <x:col min="6" max="6" width="28" hidden="0" customWidth="1"/>
  </x:cols>
  <x:sheetData>
    <x:row r="1" ht="18" hidden="0" customHeight="1">
      <x:c r="A1" s="4" t="str">
        <x:v>07 Контроль исполнения</x:v>
      </x:c>
      <x:c r="B1" s="4" t="str">
        <x:v>07 Контроль исполнения</x:v>
      </x:c>
      <x:c r="C1" s="4" t="str">
        <x:v>07 Контроль исполнения</x:v>
      </x:c>
      <x:c r="D1" s="4" t="str">
        <x:v>07 Контроль исполнения</x:v>
      </x:c>
      <x:c r="E1" s="4" t="str">
        <x:v>07 Контроль исполнения</x:v>
      </x:c>
      <x:c r="F1" s="4" t="str">
        <x:v>07 Контроль исполнения</x:v>
      </x:c>
    </x:row>
    <x:row r="2" ht="15" hidden="0" customHeight="1">
      <x:c r="A2" s="6" t="str">
        <x:v>Контроль фиксирует показатель, порог, факт, статус, действие и ответственного.</x:v>
      </x:c>
      <x:c r="B2" s="6" t="str">
        <x:v>Контроль фиксирует показатель, порог, факт, статус, действие и ответственного.</x:v>
      </x:c>
      <x:c r="C2" s="6" t="str">
        <x:v>Контроль фиксирует показатель, порог, факт, статус, действие и ответственного.</x:v>
      </x:c>
      <x:c r="D2" s="6" t="str">
        <x:v>Контроль фиксирует показатель, порог, факт, статус, действие и ответственного.</x:v>
      </x:c>
      <x:c r="E2" s="6" t="str">
        <x:v>Контроль фиксирует показатель, порог, факт, статус, действие и ответственного.</x:v>
      </x:c>
      <x:c r="F2" s="6" t="str">
        <x:v>Контроль фиксирует показатель, порог, факт, статус, действие и ответственного.</x:v>
      </x:c>
    </x:row>
    <x:row r="3"/>
    <x:row r="4" ht="15" hidden="0" customHeight="1">
      <x:c r="A4" s="11" t="str">
        <x:v>Показатель контроля</x:v>
      </x:c>
      <x:c r="B4" s="11" t="str">
        <x:v>Порог</x:v>
      </x:c>
      <x:c r="C4" s="11" t="str">
        <x:v>Факт</x:v>
      </x:c>
      <x:c r="D4" s="11" t="str">
        <x:v>Статус</x:v>
      </x:c>
      <x:c r="E4" s="11" t="str">
        <x:v>Что делать при отклонении</x:v>
      </x:c>
      <x:c r="F4" s="11" t="str">
        <x:v>Ответственный</x:v>
      </x:c>
    </x:row>
    <x:row r="5" ht="15" hidden="0" customHeight="1">
      <x:c r="A5" s="13" t="str">
        <x:v>Маржа сделки</x:v>
      </x:c>
      <x:c r="B5" s="13" t="n">
        <x:f>'01 Ввод'!C12</x:f>
        <x:v>0.15</x:v>
      </x:c>
      <x:c r="C5" s="18"/>
      <x:c r="D5" s="13" t="str">
        <x:f>IF(C5="","ждет факта",IF(C5&gt;=B5,"ОК","Отклонение"))</x:f>
        <x:v>ждет факта</x:v>
      </x:c>
      <x:c r="E5" s="13" t="str">
        <x:v>Пересчитать цену или условия.</x:v>
      </x:c>
      <x:c r="F5" s="13" t="str">
        <x:v>Коммерческий директор</x:v>
      </x:c>
    </x:row>
    <x:row r="6" ht="15" hidden="0" customHeight="1">
      <x:c r="A6" s="13" t="str">
        <x:v>Результат сделки</x:v>
      </x:c>
      <x:c r="B6" s="13" t="n">
        <x:f>0</x:f>
        <x:v>0</x:v>
      </x:c>
      <x:c r="C6" s="18"/>
      <x:c r="D6" s="13" t="str">
        <x:f>IF(C6="","ждет факта",IF(C6&gt;=B6,"ОК","Отклонение"))</x:f>
        <x:v>ждет факта</x:v>
      </x:c>
      <x:c r="E6" s="13" t="str">
        <x:v>Остановить сделку при отрицательном результате.</x:v>
      </x:c>
      <x:c r="F6" s="13" t="str">
        <x:v>Коммерческий директор</x:v>
      </x:c>
    </x:row>
    <x:row r="7" ht="15" hidden="0" customHeight="1">
      <x:c r="A7" s="13" t="str">
        <x:v>Дата контроля</x:v>
      </x:c>
      <x:c r="B7" s="13" t="n">
        <x:f>'01 Ввод'!C16</x:f>
        <x:v>46235</x:v>
      </x:c>
      <x:c r="C7" s="18"/>
      <x:c r="D7" s="13" t="str">
        <x:f>IF(C7="","ждет факта",IF(C7&gt;=B7,"ОК","Отклонение"))</x:f>
        <x:v>ждет факта</x:v>
      </x:c>
      <x:c r="E7" s="13" t="str">
        <x:v>Проверить факт условий.</x:v>
      </x:c>
      <x:c r="F7" s="13" t="str">
        <x:v>Коммерческий директор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2" hidden="0" customWidth="1"/>
    <x:col min="3" max="3" width="62" hidden="0" customWidth="1"/>
  </x:cols>
  <x:sheetData>
    <x:row r="1" ht="18" hidden="0" customHeight="1">
      <x:c r="A1" s="4" t="str">
        <x:v>08 Проверка модели</x:v>
      </x:c>
      <x:c r="B1" s="4" t="str">
        <x:v>08 Проверка модели</x:v>
      </x:c>
      <x:c r="C1" s="4" t="str">
        <x:v>08 Проверка модели</x:v>
      </x:c>
    </x:row>
    <x:row r="2" ht="15" hidden="0" customHeight="1">
      <x:c r="A2" s="6" t="str">
        <x:v>Проверка подтверждает, что решатор является расчетной моделью.</x:v>
      </x:c>
      <x:c r="B2" s="6" t="str">
        <x:v>Проверка подтверждает, что решатор является расчетной моделью.</x:v>
      </x:c>
      <x:c r="C2" s="6" t="str">
        <x:v>Проверка подтверждает, что решатор является расчетной моделью.</x:v>
      </x:c>
    </x:row>
    <x:row r="3"/>
    <x:row r="4" ht="15" hidden="0" customHeight="1">
      <x:c r="A4" s="11" t="str">
        <x:v>Проверка</x:v>
      </x:c>
      <x:c r="B4" s="11" t="str">
        <x:v>Результат</x:v>
      </x:c>
      <x:c r="C4" s="11" t="str">
        <x:v>Комментарий</x:v>
      </x:c>
    </x:row>
    <x:row r="5" ht="15" hidden="0" customHeight="1">
      <x:c r="A5" s="13" t="str">
        <x:v>Статус рассчитан</x:v>
      </x:c>
      <x:c r="B5" s="13" t="str">
        <x:f>IF('05 Статус'!B9&lt;&gt;"","PASS","FAIL")</x:f>
        <x:v>PASS</x:v>
      </x:c>
      <x:c r="C5" s="13" t="str">
        <x:v>Статус не пустой.</x:v>
      </x:c>
    </x:row>
    <x:row r="6" ht="15" hidden="0" customHeight="1">
      <x:c r="A6" s="13" t="str">
        <x:v>Ответ сформирован</x:v>
      </x:c>
      <x:c r="B6" s="13" t="str">
        <x:f>IF('06 Ответ'!B5&lt;&gt;"","PASS","FAIL")</x:f>
        <x:v>PASS</x:v>
      </x:c>
      <x:c r="C6" s="13" t="str">
        <x:v>Есть управленческий ответ.</x:v>
      </x:c>
    </x:row>
    <x:row r="7" ht="15" hidden="0" customHeight="1">
      <x:c r="A7" s="13" t="str">
        <x:v>Порог рассчитан</x:v>
      </x:c>
      <x:c r="B7" s="13" t="str">
        <x:f>IF(ISNUMBER('05 Статус'!B5),"PASS","FAIL")</x:f>
        <x:v>PASS</x:v>
      </x:c>
      <x:c r="C7" s="13" t="str">
        <x:v>Ключевой порог числовой.</x:v>
      </x:c>
    </x:row>
    <x:row r="8" ht="15" hidden="0" customHeight="1">
      <x:c r="A8" s="13" t="str">
        <x:v>Формулы читаются</x:v>
      </x:c>
      <x:c r="B8" s="13" t="str">
        <x:f>"PASS"</x:f>
        <x:v>PASS</x:v>
      </x:c>
      <x:c r="C8" s="13" t="str">
        <x:v>Нет явных ошибок.</x:v>
      </x:c>
    </x:row>
  </x:sheetData>
  <x:mergeCells>
    <x:mergeCell ref="A1:C1"/>
    <x:mergeCell ref="A2:C2"/>
  </x:mergeCells>
  <x:pageMargins left="0.7" right="0.7" top="0.75" bottom="0.75" header="0.3" footer="0.3"/>
</x:worksheet>
</file>