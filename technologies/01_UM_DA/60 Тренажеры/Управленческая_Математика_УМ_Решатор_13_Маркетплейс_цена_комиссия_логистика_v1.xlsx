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b5fb198e334b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 Ввод" sheetId="1" r:id="Rb6b783b344c94bba"/>
    <x:sheet xmlns:r="http://schemas.openxmlformats.org/officeDocument/2006/relationships" name="02 Расчет" sheetId="2" r:id="Rcfb68efa8bca424d"/>
    <x:sheet xmlns:r="http://schemas.openxmlformats.org/officeDocument/2006/relationships" name="03 Сценарии" sheetId="3" r:id="R7ab5b28e08414880"/>
    <x:sheet xmlns:r="http://schemas.openxmlformats.org/officeDocument/2006/relationships" name="04 Контуры" sheetId="4" r:id="Rffc168b6cfe5424b"/>
    <x:sheet xmlns:r="http://schemas.openxmlformats.org/officeDocument/2006/relationships" name="05 Статус" sheetId="5" r:id="R0cf97ff525524c73"/>
    <x:sheet xmlns:r="http://schemas.openxmlformats.org/officeDocument/2006/relationships" name="06 Ответ" sheetId="6" r:id="R4cc027b14ecb4452"/>
    <x:sheet xmlns:r="http://schemas.openxmlformats.org/officeDocument/2006/relationships" name="07 Контроль" sheetId="7" r:id="R4de233f6ab874301"/>
    <x:sheet xmlns:r="http://schemas.openxmlformats.org/officeDocument/2006/relationships" name="08 Проверка" sheetId="8" r:id="R4846faf6236c42f3"/>
    <x:sheet xmlns:r="http://schemas.openxmlformats.org/officeDocument/2006/relationships" name="00 Каталог" sheetId="9" r:id="Ra0b28873c091408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.0%"/>
    <x:numFmt numFmtId="202" formatCode="yyyy-mm-dd"/>
    <x:numFmt numFmtId="203" formatCode="0"/>
  </x:numFmts>
  <x:fonts count="11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  <x:font>
      <x:sz val="11"/>
      <x:color rgb="FF111827"/>
      <x:name val="Carlito"/>
    </x:font>
    <x:font>
      <x:b/>
      <x:sz val="11"/>
      <x:color rgb="FF111827"/>
      <x:name val="Carlito"/>
    </x:font>
    <x:font>
      <x:sz val="11"/>
      <x:color rgb="FF7A4A00"/>
      <x:name val="Carlito"/>
    </x:font>
    <x:font>
      <x:b/>
      <x:sz val="11"/>
      <x:color rgb="FF7A4A00"/>
      <x:name val="Carlito"/>
    </x:font>
    <x:font>
      <x:sz val="11"/>
      <x:color rgb="FF1F6B4E"/>
      <x:name val="Carlito"/>
    </x:font>
    <x:font>
      <x:sz val="11"/>
      <x:color rgb="FF8A2D2D"/>
      <x:name val="Carlito"/>
    </x:font>
    <x:font>
      <x:b/>
      <x:sz val="11"/>
      <x:color rgb="FF1F6B4E"/>
      <x:name val="Carlito"/>
    </x:font>
  </x:fonts>
  <x:fills count="24">
    <x:fill>
      <x:patternFill patternType="none"/>
    </x:fill>
    <x:fill>
      <x:patternFill patternType="gray125"/>
    </x:fill>
    <x:fill>
      <x:patternFill patternType="solid">
        <x:fgColor rgb="FF1F2933"/>
      </x:patternFill>
    </x:fill>
    <x:fill>
      <x:patternFill patternType="solid">
        <x:fgColor rgb="FFEEF2F4"/>
      </x:patternFill>
    </x:fill>
    <x:fill>
      <x:patternFill patternType="solid">
        <x:fgColor rgb="FF1F4E5F"/>
      </x:patternFill>
    </x:fill>
    <x:fill>
      <x:patternFill patternType="solid">
        <x:fgColor rgb="FFFFF3C4"/>
      </x:patternFill>
    </x:fill>
    <x:fill>
      <x:patternFill patternType="solid">
        <x:fgColor rgb="FFEAF3F6"/>
      </x:patternFill>
    </x:fill>
    <x:fill>
      <x:patternFill patternType="solid">
        <x:fgColor rgb="FFDDEFEA"/>
      </x:patternFill>
    </x:fill>
    <x:fill>
      <x:patternFill patternType="solid">
        <x:fgColor rgb="FFFDE2E2"/>
      </x:patternFill>
    </x:fill>
    <x:fill>
      <x:patternFill patternType="solid">
        <x:fgColor rgb="FF1F2933"/>
      </x:patternFill>
    </x:fill>
    <x:fill>
      <x:patternFill patternType="solid">
        <x:fgColor rgb="FFEEF2F4"/>
      </x:patternFill>
    </x:fill>
    <x:fill>
      <x:patternFill patternType="solid">
        <x:fgColor rgb="FF1F4E5F"/>
      </x:patternFill>
    </x:fill>
    <x:fill>
      <x:patternFill patternType="solid">
        <x:fgColor rgb="FFF4FAF8"/>
      </x:patternFill>
    </x:fill>
    <x:fill>
      <x:patternFill patternType="solid">
        <x:fgColor rgb="FFDDEFEA"/>
      </x:patternFill>
    </x:fill>
    <x:fill>
      <x:patternFill patternType="solid">
        <x:fgColor rgb="FF1F2933"/>
      </x:patternFill>
    </x:fill>
    <x:fill>
      <x:patternFill patternType="solid">
        <x:fgColor rgb="FFEEF2F4"/>
      </x:patternFill>
    </x:fill>
    <x:fill>
      <x:patternFill patternType="solid">
        <x:fgColor rgb="FF1F4E5F"/>
      </x:patternFill>
    </x:fill>
    <x:fill>
      <x:patternFill patternType="solid">
        <x:fgColor rgb="FFF4FAF8"/>
      </x:patternFill>
    </x:fill>
    <x:fill>
      <x:patternFill patternType="solid">
        <x:fgColor rgb="FFDDEFEA"/>
      </x:patternFill>
    </x:fill>
    <x:fill>
      <x:patternFill patternType="solid">
        <x:fgColor rgb="FF1F2933"/>
      </x:patternFill>
    </x:fill>
    <x:fill>
      <x:patternFill patternType="solid">
        <x:fgColor rgb="FFEEF2F4"/>
      </x:patternFill>
    </x:fill>
    <x:fill>
      <x:patternFill patternType="solid">
        <x:fgColor rgb="FF1F4E5F"/>
      </x:patternFill>
    </x:fill>
    <x:fill>
      <x:patternFill patternType="solid">
        <x:fgColor rgb="FFF4FAF8"/>
      </x:patternFill>
    </x:fill>
    <x:fill>
      <x:patternFill patternType="solid">
        <x:fgColor rgb="FFDDEFEA"/>
      </x:patternFill>
    </x:fill>
  </x:fills>
  <x:borders count="2">
    <x:border/>
    <x:border>
      <x:left style="thin">
        <x:color rgb="FFD7DEE2"/>
      </x:left>
      <x:right style="thin">
        <x:color rgb="FFD7DEE2"/>
      </x:right>
      <x:top style="thin">
        <x:color rgb="FFD7DEE2"/>
      </x:top>
      <x:bottom style="thin">
        <x:color rgb="FFD7DEE2"/>
      </x:bottom>
    </x:border>
  </x:borders>
  <x:cellStyleXfs count="1">
    <x:xf numFmtId="0" fontId="0" fillId="0" borderId="0"/>
  </x:cellStyleXfs>
  <x:cellXfs count="8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wrapText="1"/>
    </x:xf>
    <x:xf numFmtId="200" fontId="5" fillId="5" borderId="1" xfId="0" applyNumberFormat="1" applyFont="1" applyFill="1" applyBorder="1" applyAlignment="1">
      <x:alignment wrapText="1"/>
    </x:xf>
    <x:xf numFmtId="201" fontId="5" fillId="5" borderId="1" xfId="0" applyNumberFormat="1" applyFont="1" applyFill="1" applyBorder="1" applyAlignment="1">
      <x:alignment wrapText="1"/>
    </x:xf>
    <x:xf numFmtId="202" fontId="5" fillId="5" borderId="1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wrapText="1"/>
    </x:xf>
    <x:xf numFmtId="200" fontId="4" fillId="6" borderId="1" xfId="0" applyNumberFormat="1" applyFont="1" applyFill="1" applyBorder="1" applyAlignment="1">
      <x:alignment wrapText="1"/>
    </x:xf>
    <x:xf numFmtId="201" fontId="4" fillId="6" borderId="1" xfId="0" applyNumberFormat="1" applyFont="1" applyFill="1" applyBorder="1" applyAlignment="1">
      <x:alignment wrapText="1"/>
    </x:xf>
    <x:xf numFmtId="200" fontId="4" fillId="0" borderId="1" xfId="0" applyNumberFormat="1" applyFont="1" applyFill="1" applyBorder="1" applyAlignment="1">
      <x:alignment wrapText="1"/>
    </x:xf>
    <x:xf numFmtId="0" fontId="6" fillId="5" borderId="1" xfId="0" applyNumberFormat="1" applyFont="1" applyFill="1" applyBorder="1" applyAlignment="1">
      <x:alignment wrapText="1"/>
    </x:xf>
    <x:xf numFmtId="0" fontId="7" fillId="5" borderId="1" xfId="0" applyNumberFormat="1" applyFont="1" applyFill="1" applyBorder="1" applyAlignment="1">
      <x:alignment wrapText="1"/>
    </x:xf>
    <x:xf numFmtId="0" fontId="4" fillId="7" borderId="1" xfId="0" applyNumberFormat="1" applyFont="1" applyFill="1" applyBorder="1" applyAlignment="1">
      <x:alignment wrapText="1"/>
    </x:xf>
    <x:xf numFmtId="0" fontId="8" fillId="7" borderId="1" xfId="0" applyNumberFormat="1" applyFont="1" applyFill="1" applyBorder="1" applyAlignment="1">
      <x:alignment wrapText="1"/>
    </x:xf>
    <x:xf numFmtId="0" fontId="4" fillId="8" borderId="1" xfId="0" applyNumberFormat="1" applyFont="1" applyFill="1" applyBorder="1" applyAlignment="1">
      <x:alignment wrapText="1"/>
    </x:xf>
    <x:xf numFmtId="0" fontId="9" fillId="8" borderId="1" xfId="0" applyNumberFormat="1" applyFont="1" applyFill="1" applyBorder="1" applyAlignment="1">
      <x:alignment wrapText="1"/>
    </x:xf>
    <x:xf numFmtId="0" fontId="6" fillId="6" borderId="1" xfId="0" applyNumberFormat="1" applyFont="1" applyFill="1" applyBorder="1" applyAlignment="1">
      <x:alignment wrapText="1"/>
    </x:xf>
    <x:xf numFmtId="202" fontId="4" fillId="6" borderId="1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1" fillId="9" borderId="0" xfId="0" applyNumberFormat="1" applyFont="1" applyFill="1" applyBorder="1"/>
    <x:xf numFmtId="0" fontId="2" fillId="9" borderId="0" xfId="0" applyNumberFormat="1" applyFont="1" applyFill="1" applyBorder="1"/>
    <x:xf numFmtId="0" fontId="3" fillId="9" borderId="0" xfId="0" applyNumberFormat="1" applyFont="1" applyFill="1" applyBorder="1"/>
    <x:xf numFmtId="0" fontId="0" fillId="10" borderId="0" xfId="0" applyNumberFormat="1" applyFont="1" applyFill="1" applyBorder="1"/>
    <x:xf numFmtId="0" fontId="4" fillId="10" borderId="0" xfId="0" applyNumberFormat="1" applyFont="1" applyFill="1" applyBorder="1"/>
    <x:xf numFmtId="0" fontId="4" fillId="10" borderId="0" xfId="0" applyNumberFormat="1" applyFont="1" applyFill="1" applyBorder="1" applyAlignment="1">
      <x:alignment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2" fillId="11" borderId="0" xfId="0" applyNumberFormat="1" applyFont="1" applyFill="1" applyBorder="1"/>
    <x:xf numFmtId="0" fontId="2" fillId="11" borderId="0" xfId="0" applyNumberFormat="1" applyFont="1" applyFill="1" applyBorder="1" applyAlignment="1">
      <x:alignment wrapText="1"/>
    </x:xf>
    <x:xf numFmtId="0" fontId="2" fillId="11" borderId="1" xfId="0" applyNumberFormat="1" applyFont="1" applyFill="1" applyBorder="1" applyAlignment="1">
      <x:alignment wrapText="1"/>
    </x:xf>
    <x:xf numFmtId="203" fontId="4" fillId="0" borderId="1" xfId="0" applyNumberFormat="1" applyFont="1" applyFill="1" applyBorder="1" applyAlignment="1">
      <x:alignment wrapText="1"/>
    </x:xf>
    <x:xf numFmtId="203" fontId="4" fillId="12" borderId="1" xfId="0" applyNumberFormat="1" applyFont="1" applyFill="1" applyBorder="1" applyAlignment="1">
      <x:alignment wrapText="1"/>
    </x:xf>
    <x:xf numFmtId="0" fontId="4" fillId="12" borderId="1" xfId="0" applyNumberFormat="1" applyFont="1" applyFill="1" applyBorder="1" applyAlignment="1">
      <x:alignment wrapText="1"/>
    </x:xf>
    <x:xf numFmtId="203" fontId="4" fillId="13" borderId="1" xfId="0" applyNumberFormat="1" applyFont="1" applyFill="1" applyBorder="1" applyAlignment="1">
      <x:alignment wrapText="1"/>
    </x:xf>
    <x:xf numFmtId="0" fontId="4" fillId="13" borderId="1" xfId="0" applyNumberFormat="1" applyFont="1" applyFill="1" applyBorder="1" applyAlignment="1">
      <x:alignment wrapText="1"/>
    </x:xf>
    <x:xf numFmtId="203" fontId="8" fillId="13" borderId="1" xfId="0" applyNumberFormat="1" applyFont="1" applyFill="1" applyBorder="1" applyAlignment="1">
      <x:alignment wrapText="1"/>
    </x:xf>
    <x:xf numFmtId="0" fontId="8" fillId="13" borderId="1" xfId="0" applyNumberFormat="1" applyFont="1" applyFill="1" applyBorder="1" applyAlignment="1">
      <x:alignment wrapText="1"/>
    </x:xf>
    <x:xf numFmtId="203" fontId="10" fillId="13" borderId="1" xfId="0" applyNumberFormat="1" applyFont="1" applyFill="1" applyBorder="1" applyAlignment="1">
      <x:alignment wrapText="1"/>
    </x:xf>
    <x:xf numFmtId="0" fontId="10" fillId="13" borderId="1" xfId="0" applyNumberFormat="1" applyFont="1" applyFill="1" applyBorder="1" applyAlignment="1">
      <x:alignment wrapText="1"/>
    </x:xf>
    <x:xf numFmtId="0" fontId="4" fillId="10" borderId="1" xfId="0" applyNumberFormat="1" applyFont="1" applyFill="1" applyBorder="1" applyAlignment="1">
      <x:alignment wrapText="1"/>
    </x:xf>
    <x:xf numFmtId="0" fontId="0" fillId="14" borderId="0" xfId="0" applyNumberFormat="1" applyFont="1" applyFill="1" applyBorder="1"/>
    <x:xf numFmtId="0" fontId="1" fillId="14" borderId="0" xfId="0" applyNumberFormat="1" applyFont="1" applyFill="1" applyBorder="1"/>
    <x:xf numFmtId="0" fontId="2" fillId="14" borderId="0" xfId="0" applyNumberFormat="1" applyFont="1" applyFill="1" applyBorder="1"/>
    <x:xf numFmtId="0" fontId="3" fillId="14" borderId="0" xfId="0" applyNumberFormat="1" applyFont="1" applyFill="1" applyBorder="1"/>
    <x:xf numFmtId="0" fontId="0" fillId="15" borderId="0" xfId="0" applyNumberFormat="1" applyFont="1" applyFill="1" applyBorder="1"/>
    <x:xf numFmtId="0" fontId="0" fillId="15" borderId="0" xfId="0" applyNumberFormat="1" applyFont="1" applyFill="1" applyBorder="1" applyAlignment="1">
      <x:alignment wrapText="1"/>
    </x:xf>
    <x:xf numFmtId="0" fontId="0" fillId="16" borderId="0" xfId="0" applyNumberFormat="1" applyFont="1" applyFill="1" applyBorder="1"/>
    <x:xf numFmtId="0" fontId="1" fillId="16" borderId="0" xfId="0" applyNumberFormat="1" applyFont="1" applyFill="1" applyBorder="1"/>
    <x:xf numFmtId="0" fontId="2" fillId="16" borderId="0" xfId="0" applyNumberFormat="1" applyFont="1" applyFill="1" applyBorder="1"/>
    <x:xf numFmtId="0" fontId="2" fillId="16" borderId="0" xfId="0" applyNumberFormat="1" applyFont="1" applyFill="1" applyBorder="1" applyAlignment="1">
      <x:alignment wrapText="1"/>
    </x:xf>
    <x:xf numFmtId="0" fontId="2" fillId="16" borderId="1" xfId="0" applyNumberFormat="1" applyFont="1" applyFill="1" applyBorder="1" applyAlignment="1">
      <x:alignment wrapText="1"/>
    </x:xf>
    <x:xf numFmtId="0" fontId="0" fillId="17" borderId="1" xfId="0" applyNumberFormat="1" applyFont="1" applyFill="1" applyBorder="1" applyAlignment="1">
      <x:alignment wrapText="1"/>
    </x:xf>
    <x:xf numFmtId="0" fontId="0" fillId="18" borderId="1" xfId="0" applyNumberFormat="1" applyFont="1" applyFill="1" applyBorder="1" applyAlignment="1">
      <x:alignment wrapText="1"/>
    </x:xf>
    <x:xf numFmtId="0" fontId="8" fillId="18" borderId="1" xfId="0" applyNumberFormat="1" applyFont="1" applyFill="1" applyBorder="1" applyAlignment="1">
      <x:alignment wrapText="1"/>
    </x:xf>
    <x:xf numFmtId="0" fontId="10" fillId="18" borderId="1" xfId="0" applyNumberFormat="1" applyFont="1" applyFill="1" applyBorder="1" applyAlignment="1">
      <x:alignment wrapText="1"/>
    </x:xf>
    <x:xf numFmtId="0" fontId="0" fillId="19" borderId="0" xfId="0" applyNumberFormat="1" applyFont="1" applyFill="1" applyBorder="1"/>
    <x:xf numFmtId="0" fontId="1" fillId="19" borderId="0" xfId="0" applyNumberFormat="1" applyFont="1" applyFill="1" applyBorder="1"/>
    <x:xf numFmtId="0" fontId="2" fillId="19" borderId="0" xfId="0" applyNumberFormat="1" applyFont="1" applyFill="1" applyBorder="1"/>
    <x:xf numFmtId="0" fontId="3" fillId="19" borderId="0" xfId="0" applyNumberFormat="1" applyFont="1" applyFill="1" applyBorder="1"/>
    <x:xf numFmtId="0" fontId="0" fillId="20" borderId="0" xfId="0" applyNumberFormat="1" applyFont="1" applyFill="1" applyBorder="1"/>
    <x:xf numFmtId="0" fontId="0" fillId="20" borderId="0" xfId="0" applyNumberFormat="1" applyFont="1" applyFill="1" applyBorder="1" applyAlignment="1">
      <x:alignment wrapText="1"/>
    </x:xf>
    <x:xf numFmtId="0" fontId="0" fillId="21" borderId="0" xfId="0" applyNumberFormat="1" applyFont="1" applyFill="1" applyBorder="1"/>
    <x:xf numFmtId="0" fontId="1" fillId="21" borderId="0" xfId="0" applyNumberFormat="1" applyFont="1" applyFill="1" applyBorder="1"/>
    <x:xf numFmtId="0" fontId="2" fillId="21" borderId="0" xfId="0" applyNumberFormat="1" applyFont="1" applyFill="1" applyBorder="1"/>
    <x:xf numFmtId="0" fontId="2" fillId="21" borderId="0" xfId="0" applyNumberFormat="1" applyFont="1" applyFill="1" applyBorder="1" applyAlignment="1">
      <x:alignment wrapText="1"/>
    </x:xf>
    <x:xf numFmtId="0" fontId="2" fillId="21" borderId="1" xfId="0" applyNumberFormat="1" applyFont="1" applyFill="1" applyBorder="1" applyAlignment="1">
      <x:alignment wrapText="1"/>
    </x:xf>
    <x:xf numFmtId="0" fontId="0" fillId="22" borderId="1" xfId="0" applyNumberFormat="1" applyFont="1" applyFill="1" applyBorder="1" applyAlignment="1">
      <x:alignment wrapText="1"/>
    </x:xf>
    <x:xf numFmtId="0" fontId="0" fillId="23" borderId="1" xfId="0" applyNumberFormat="1" applyFont="1" applyFill="1" applyBorder="1" applyAlignment="1">
      <x:alignment wrapText="1"/>
    </x:xf>
    <x:xf numFmtId="0" fontId="8" fillId="23" borderId="1" xfId="0" applyNumberFormat="1" applyFont="1" applyFill="1" applyBorder="1" applyAlignment="1">
      <x:alignment wrapText="1"/>
    </x:xf>
    <x:xf numFmtId="0" fontId="10" fillId="23" borderId="1" xfId="0" applyNumberFormat="1" applyFont="1" applyFill="1" applyBorder="1" applyAlignment="1">
      <x:alignment wrapText="1"/>
    </x:xf>
  </x:cellXfs>
  <x:cellStyles count="1">
    <x:cellStyle name="Normal" xfId="0"/>
  </x:cellStyles>
  <x:dxfs count="24">
    <x:dxf>
      <x:font>
        <x:b/>
        <x:color rgb="FF8A2D2D"/>
      </x:font>
    </x:dxf>
    <x:dxf>
      <x:font>
        <x:b/>
        <x:color rgb="FF7A4A00"/>
      </x:font>
    </x:dxf>
    <x:dxf>
      <x:font>
        <x:b/>
        <x:color rgb="FF1F6B4E"/>
      </x:font>
    </x:dxf>
    <x:dxf>
      <x:font>
        <x:b/>
        <x:color rgb="FF1F6B4E"/>
      </x:font>
    </x:dxf>
    <x:dxf>
      <x:font>
        <x:b/>
        <x:color rgb="FF8A2D2D"/>
      </x:font>
    </x:dxf>
    <x:dxf>
      <x:font>
        <x:b/>
        <x:color rgb="FF7A4A00"/>
      </x:font>
    </x:dxf>
    <x:dxf>
      <x:font>
        <x:b/>
        <x:color rgb="FF8A2D2D"/>
      </x:font>
    </x:dxf>
    <x:dxf>
      <x:font>
        <x:b/>
        <x:color rgb="FF7A4A00"/>
      </x:font>
    </x:dxf>
    <x:dxf>
      <x:font>
        <x:b/>
        <x:color rgb="FF1F6B4E"/>
      </x:font>
    </x:dxf>
    <x:dxf>
      <x:font>
        <x:b/>
        <x:color rgb="FF1F6B4E"/>
      </x:font>
    </x:dxf>
    <x:dxf>
      <x:font>
        <x:b/>
        <x:color rgb="FF8A2D2D"/>
      </x:font>
    </x:dxf>
    <x:dxf>
      <x:font>
        <x:b/>
        <x:color rgb="FF7A4A00"/>
      </x:font>
    </x:dxf>
    <x:dxf>
      <x:font>
        <x:b/>
        <x:color rgb="FF8A2D2D"/>
      </x:font>
    </x:dxf>
    <x:dxf>
      <x:font>
        <x:b/>
        <x:color rgb="FF7A4A00"/>
      </x:font>
    </x:dxf>
    <x:dxf>
      <x:font>
        <x:b/>
        <x:color rgb="FF1F6B4E"/>
      </x:font>
    </x:dxf>
    <x:dxf>
      <x:font>
        <x:b/>
        <x:color rgb="FF1F6B4E"/>
      </x:font>
    </x:dxf>
    <x:dxf>
      <x:font>
        <x:b/>
        <x:color rgb="FF8A2D2D"/>
      </x:font>
    </x:dxf>
    <x:dxf>
      <x:font>
        <x:b/>
        <x:color rgb="FF7A4A00"/>
      </x:font>
    </x:dxf>
    <x:dxf>
      <x:font>
        <x:b/>
        <x:color rgb="FF8A2D2D"/>
      </x:font>
    </x:dxf>
    <x:dxf>
      <x:font>
        <x:b/>
        <x:color rgb="FF7A4A00"/>
      </x:font>
    </x:dxf>
    <x:dxf>
      <x:font>
        <x:b/>
        <x:color rgb="FF1F6B4E"/>
      </x:font>
    </x:dxf>
    <x:dxf>
      <x:font>
        <x:b/>
        <x:color rgb="FF1F6B4E"/>
      </x:font>
    </x:dxf>
    <x:dxf>
      <x:font>
        <x:b/>
        <x:color rgb="FF8A2D2D"/>
      </x:font>
    </x:dxf>
    <x:dxf>
      <x:font>
        <x:b/>
        <x:color rgb="FF7A4A00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ae1c8c2ed349a4" /><Relationship Type="http://schemas.openxmlformats.org/officeDocument/2006/relationships/theme" Target="/xl/theme/theme1.xml" Id="R1632b84aba9c4079" /><Relationship Type="http://schemas.openxmlformats.org/officeDocument/2006/relationships/sharedStrings" Target="/xl/sharedStrings.xml" Id="R039c42e3d8604561" /><Relationship Type="http://schemas.openxmlformats.org/officeDocument/2006/relationships/worksheet" Target="/xl/worksheets/sheet1.xml" Id="Rb6b783b344c94bba" /><Relationship Type="http://schemas.openxmlformats.org/officeDocument/2006/relationships/worksheet" Target="/xl/worksheets/sheet2.xml" Id="Rcfb68efa8bca424d" /><Relationship Type="http://schemas.openxmlformats.org/officeDocument/2006/relationships/worksheet" Target="/xl/worksheets/sheet3.xml" Id="R7ab5b28e08414880" /><Relationship Type="http://schemas.openxmlformats.org/officeDocument/2006/relationships/worksheet" Target="/xl/worksheets/sheet4.xml" Id="Rffc168b6cfe5424b" /><Relationship Type="http://schemas.openxmlformats.org/officeDocument/2006/relationships/worksheet" Target="/xl/worksheets/sheet5.xml" Id="R0cf97ff525524c73" /><Relationship Type="http://schemas.openxmlformats.org/officeDocument/2006/relationships/worksheet" Target="/xl/worksheets/sheet6.xml" Id="R4cc027b14ecb4452" /><Relationship Type="http://schemas.openxmlformats.org/officeDocument/2006/relationships/worksheet" Target="/xl/worksheets/sheet7.xml" Id="R4de233f6ab874301" /><Relationship Type="http://schemas.openxmlformats.org/officeDocument/2006/relationships/worksheet" Target="/xl/worksheets/sheet8.xml" Id="R4846faf6236c42f3" /><Relationship Type="http://schemas.openxmlformats.org/officeDocument/2006/relationships/worksheet" Target="/xl/worksheets/sheet9.xml" Id="Ra0b28873c091408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aaec76d5d3f407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Канальный вклад на единицу по сценариям</a:t>
            </a:r>
          </a:p>
        </c:rich>
      </c:tx>
      <c:overlay val="0"/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v>Результат</c:v>
          </c:tx>
          <c:dLbls/>
          <c:cat>
            <c:strRef>
              <c:f>'03 Сценарии'!$A$14:$A$18</c:f>
              <c:strCache>
                <c:ptCount val="0"/>
              </c:strCache>
            </c:strRef>
          </c:cat>
          <c:val>
            <c:numRef>
              <c:f>'03 Сценарии'!$B$14:$B$18</c:f>
              <c:numCache>
                <c:formatCode>#,##0</c:formatCode>
                <c:ptCount val="0"/>
              </c:numCache>
            </c:numRef>
          </c:val>
        </c:ser>
        <c:dLbls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12</xdr:row>
      <xdr:rowOff>0</xdr:rowOff>
    </xdr:from>
    <xdr:to>
      <xdr:col>5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aaec76d5d3f407a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330cc700463f455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4" hidden="0" customWidth="1"/>
    <x:col min="3" max="3" width="20" hidden="0" customWidth="1"/>
    <x:col min="4" max="4" width="14" hidden="0" customWidth="1"/>
    <x:col min="5" max="5" width="54" hidden="0" customWidth="1"/>
    <x:col min="6" max="6" width="16" hidden="0" customWidth="1"/>
  </x:cols>
  <x:sheetData>
    <x:row r="1" ht="18" hidden="0" customHeight="1">
      <x:c r="A1" s="5" t="str">
        <x:v>УМ решатор: маркетплейс - цена, комиссия, логистика</x:v>
      </x:c>
      <x:c r="B1" s="5" t="str">
        <x:v>УМ решатор: маркетплейс - цена, комиссия, логистика</x:v>
      </x:c>
      <x:c r="C1" s="5" t="str">
        <x:v>УМ решатор: маркетплейс - цена, комиссия, логистика</x:v>
      </x:c>
      <x:c r="D1" s="5" t="str">
        <x:v>УМ решатор: маркетплейс - цена, комиссия, логистика</x:v>
      </x:c>
      <x:c r="E1" s="5" t="str">
        <x:v>УМ решатор: маркетплейс - цена, комиссия, логистика</x:v>
      </x:c>
      <x:c r="F1" s="5" t="str">
        <x:v>УМ решатор: маркетплейс - цена, комиссия, логистика</x:v>
      </x:c>
    </x:row>
    <x:row r="2" ht="15" hidden="0" customHeight="1">
      <x:c r="A2" s="8" t="str">
        <x:v>Решатор показывает реальную экономику SKU / товарной позиции на маркетплейсе после скидки, комиссии, логистики, возвратов и продвижения.</x:v>
      </x:c>
      <x:c r="B2" s="8" t="str">
        <x:v>Решатор показывает реальную экономику SKU / товарной позиции на маркетплейсе после скидки, комиссии, логистики, возвратов и продвижения.</x:v>
      </x:c>
      <x:c r="C2" s="8" t="str">
        <x:v>Решатор показывает реальную экономику SKU / товарной позиции на маркетплейсе после скидки, комиссии, логистики, возвратов и продвижения.</x:v>
      </x:c>
      <x:c r="D2" s="8" t="str">
        <x:v>Решатор показывает реальную экономику SKU / товарной позиции на маркетплейсе после скидки, комиссии, логистики, возвратов и продвижения.</x:v>
      </x:c>
      <x:c r="E2" s="8" t="str">
        <x:v>Решатор показывает реальную экономику SKU / товарной позиции на маркетплейсе после скидки, комиссии, логистики, возвратов и продвижения.</x:v>
      </x:c>
      <x:c r="F2" s="8" t="str">
        <x:v>Решатор показывает реальную экономику SKU / товарной позиции на маркетплейсе после скидки, комиссии, логистики, возвратов и продвижения.</x:v>
      </x:c>
    </x:row>
    <x:row r="3"/>
    <x:row r="4" ht="15" hidden="0" customHeight="1">
      <x:c r="A4" s="13" t="str">
        <x:v>Блок</x:v>
      </x:c>
      <x:c r="B4" s="13" t="str">
        <x:v>Показатель</x:v>
      </x:c>
      <x:c r="C4" s="13" t="str">
        <x:v>Значение</x:v>
      </x:c>
      <x:c r="D4" s="13" t="str">
        <x:v>Ед.</x:v>
      </x:c>
      <x:c r="E4" s="13" t="str">
        <x:v>Комментарий</x:v>
      </x:c>
      <x:c r="F4" s="13" t="str">
        <x:v>Статус</x:v>
      </x:c>
    </x:row>
    <x:row r="5" ht="15" hidden="0" customHeight="1">
      <x:c r="A5" s="16" t="str">
        <x:v>Цена</x:v>
      </x:c>
      <x:c r="B5" s="16" t="str">
        <x:v>Цена продажи без НДС до скидки</x:v>
      </x:c>
      <x:c r="C5" s="19" t="n">
        <x:v>2500</x:v>
      </x:c>
      <x:c r="D5" s="16" t="str">
        <x:v>руб.</x:v>
      </x:c>
      <x:c r="E5" s="16" t="str">
        <x:v>Цена без НДС.</x:v>
      </x:c>
      <x:c r="F5" s="16" t="str">
        <x:v>Ввод</x:v>
      </x:c>
    </x:row>
    <x:row r="6" ht="15" hidden="0" customHeight="1">
      <x:c r="A6" s="16" t="str">
        <x:v>Себестоимость</x:v>
      </x:c>
      <x:c r="B6" s="16" t="str">
        <x:v>Себестоимость единицы</x:v>
      </x:c>
      <x:c r="C6" s="19" t="n">
        <x:v>1100</x:v>
      </x:c>
      <x:c r="D6" s="16" t="str">
        <x:v>руб.</x:v>
      </x:c>
      <x:c r="E6" s="16" t="str">
        <x:v>Закупка / производство без НДС.</x:v>
      </x:c>
      <x:c r="F6" s="16" t="str">
        <x:v>Ввод</x:v>
      </x:c>
    </x:row>
    <x:row r="7" ht="15" hidden="0" customHeight="1">
      <x:c r="A7" s="16" t="str">
        <x:v>Комиссия</x:v>
      </x:c>
      <x:c r="B7" s="16" t="str">
        <x:v>Комиссия маркетплейса</x:v>
      </x:c>
      <x:c r="C7" s="20" t="n">
        <x:v>0.18</x:v>
      </x:c>
      <x:c r="D7" s="16" t="str">
        <x:v>%</x:v>
      </x:c>
      <x:c r="E7" s="16" t="str">
        <x:v>Комиссия от цены после скидки.</x:v>
      </x:c>
      <x:c r="F7" s="16" t="str">
        <x:v>Ввод</x:v>
      </x:c>
    </x:row>
    <x:row r="8" ht="15" hidden="0" customHeight="1">
      <x:c r="A8" s="16" t="str">
        <x:v>Логистика</x:v>
      </x:c>
      <x:c r="B8" s="16" t="str">
        <x:v>Логистика на единицу</x:v>
      </x:c>
      <x:c r="C8" s="19" t="n">
        <x:v>180</x:v>
      </x:c>
      <x:c r="D8" s="16" t="str">
        <x:v>руб.</x:v>
      </x:c>
      <x:c r="E8" s="16" t="str">
        <x:v>Доставка и обработка.</x:v>
      </x:c>
      <x:c r="F8" s="16" t="str">
        <x:v>Ввод</x:v>
      </x:c>
    </x:row>
    <x:row r="9" ht="15" hidden="0" customHeight="1">
      <x:c r="A9" s="16" t="str">
        <x:v>Логистика</x:v>
      </x:c>
      <x:c r="B9" s="16" t="str">
        <x:v>Хранение / фулфилмент</x:v>
      </x:c>
      <x:c r="C9" s="19" t="n">
        <x:v>120</x:v>
      </x:c>
      <x:c r="D9" s="16" t="str">
        <x:v>руб.</x:v>
      </x:c>
      <x:c r="E9" s="16" t="str">
        <x:v>Склад, упаковка, фулфилмент.</x:v>
      </x:c>
      <x:c r="F9" s="16" t="str">
        <x:v>Ввод</x:v>
      </x:c>
    </x:row>
    <x:row r="10" ht="15" hidden="0" customHeight="1">
      <x:c r="A10" s="16" t="str">
        <x:v>Возвраты</x:v>
      </x:c>
      <x:c r="B10" s="16" t="str">
        <x:v>Ожидаемый процент возвратов</x:v>
      </x:c>
      <x:c r="C10" s="20" t="n">
        <x:v>0.08</x:v>
      </x:c>
      <x:c r="D10" s="16" t="str">
        <x:v>%</x:v>
      </x:c>
      <x:c r="E10" s="16" t="str">
        <x:v>Доля возвратов.</x:v>
      </x:c>
      <x:c r="F10" s="16" t="str">
        <x:v>Ввод</x:v>
      </x:c>
    </x:row>
    <x:row r="11" ht="15" hidden="0" customHeight="1">
      <x:c r="A11" s="16" t="str">
        <x:v>Промо</x:v>
      </x:c>
      <x:c r="B11" s="16" t="str">
        <x:v>Скидка / промо маркетплейса</x:v>
      </x:c>
      <x:c r="C11" s="20" t="n">
        <x:v>0.1</x:v>
      </x:c>
      <x:c r="D11" s="16" t="str">
        <x:v>%</x:v>
      </x:c>
      <x:c r="E11" s="16" t="str">
        <x:v>Скидка к цене.</x:v>
      </x:c>
      <x:c r="F11" s="16" t="str">
        <x:v>Ввод</x:v>
      </x:c>
    </x:row>
    <x:row r="12" ht="15" hidden="0" customHeight="1">
      <x:c r="A12" s="16" t="str">
        <x:v>Продвижение</x:v>
      </x:c>
      <x:c r="B12" s="16" t="str">
        <x:v>Реклама на единицу</x:v>
      </x:c>
      <x:c r="C12" s="19" t="n">
        <x:v>150</x:v>
      </x:c>
      <x:c r="D12" s="16" t="str">
        <x:v>руб.</x:v>
      </x:c>
      <x:c r="E12" s="16" t="str">
        <x:v>Средняя рекламная нагрузка на проданную единицу.</x:v>
      </x:c>
      <x:c r="F12" s="16" t="str">
        <x:v>Ввод</x:v>
      </x:c>
    </x:row>
    <x:row r="13" ht="15" hidden="0" customHeight="1">
      <x:c r="A13" s="16" t="str">
        <x:v>Факт</x:v>
      </x:c>
      <x:c r="B13" s="16" t="str">
        <x:v>Налоговый режим</x:v>
      </x:c>
      <x:c r="C13" s="18" t="str">
        <x:v>ОСНО</x:v>
      </x:c>
      <x:c r="D13" s="16" t="str">
        <x:v>режим</x:v>
      </x:c>
      <x:c r="E13" s="16" t="str">
        <x:v>При ОСНО цена и выручка рассматриваются без НДС.</x:v>
      </x:c>
      <x:c r="F13" s="16" t="str">
        <x:v>Ввод</x:v>
      </x:c>
    </x:row>
    <x:row r="14" ht="15" hidden="0" customHeight="1">
      <x:c r="A14" s="16" t="str">
        <x:v>Допущение</x:v>
      </x:c>
      <x:c r="B14" s="16" t="str">
        <x:v>Ставка НДС</x:v>
      </x:c>
      <x:c r="C14" s="20" t="n">
        <x:v>0.22</x:v>
      </x:c>
      <x:c r="D14" s="16" t="str">
        <x:v>%</x:v>
      </x:c>
      <x:c r="E14" s="16" t="str">
        <x:v>НДС не является выручкой при ОСНО.</x:v>
      </x:c>
      <x:c r="F14" s="16" t="str">
        <x:v>Ввод</x:v>
      </x:c>
    </x:row>
    <x:row r="15" ht="15" hidden="0" customHeight="1">
      <x:c r="A15" s="16" t="str">
        <x:v>Порог</x:v>
      </x:c>
      <x:c r="B15" s="16" t="str">
        <x:v>Целевая канальная маржа</x:v>
      </x:c>
      <x:c r="C15" s="20" t="n">
        <x:v>0.15</x:v>
      </x:c>
      <x:c r="D15" s="16" t="str">
        <x:v>%</x:v>
      </x:c>
      <x:c r="E15" s="16" t="str">
        <x:v>Минимальная маржа канала.</x:v>
      </x:c>
      <x:c r="F15" s="16" t="str">
        <x:v>Ввод</x:v>
      </x:c>
    </x:row>
    <x:row r="16" ht="15" hidden="0" customHeight="1">
      <x:c r="A16" s="16" t="str">
        <x:v>План</x:v>
      </x:c>
      <x:c r="B16" s="16" t="str">
        <x:v>План продаж в месяц</x:v>
      </x:c>
      <x:c r="C16" s="19" t="n">
        <x:v>1000</x:v>
      </x:c>
      <x:c r="D16" s="16" t="str">
        <x:v>шт.</x:v>
      </x:c>
      <x:c r="E16" s="16" t="str">
        <x:v>Планируемый объем продаж.</x:v>
      </x:c>
      <x:c r="F16" s="16" t="str">
        <x:v>Ввод</x:v>
      </x:c>
    </x:row>
    <x:row r="17" ht="15" hidden="0" customHeight="1">
      <x:c r="A17" s="16" t="str">
        <x:v>Порог</x:v>
      </x:c>
      <x:c r="B17" s="16" t="str">
        <x:v>Минимальный месячный вклад</x:v>
      </x:c>
      <x:c r="C17" s="19" t="n">
        <x:v>300000</x:v>
      </x:c>
      <x:c r="D17" s="16" t="str">
        <x:v>руб.</x:v>
      </x:c>
      <x:c r="E17" s="16" t="str">
        <x:v>Минимальный вклад SKU в результат.</x:v>
      </x:c>
      <x:c r="F17" s="16" t="str">
        <x:v>Ввод</x:v>
      </x:c>
    </x:row>
    <x:row r="18" ht="26.399999618530273" hidden="0" customHeight="1">
      <x:c r="A18" s="16" t="str">
        <x:v>Качество данных</x:v>
      </x:c>
      <x:c r="B18" s="16" t="str">
        <x:v>Данные комиссии и логистики подтверждены</x:v>
      </x:c>
      <x:c r="C18" s="18" t="str">
        <x:v>Да</x:v>
      </x:c>
      <x:c r="D18" s="16" t="str">
        <x:v>Да/Нет</x:v>
      </x:c>
      <x:c r="E18" s="16" t="str">
        <x:v>Есть ли подтвержденные тарифы.</x:v>
      </x:c>
      <x:c r="F18" s="16" t="str">
        <x:v>Ввод</x:v>
      </x:c>
    </x:row>
    <x:row r="19" ht="15" hidden="0" customHeight="1">
      <x:c r="A19" s="16" t="str">
        <x:v>Контроль</x:v>
      </x:c>
      <x:c r="B19" s="16" t="str">
        <x:v>Дата первого контроля</x:v>
      </x:c>
      <x:c r="C19" s="21" t="n">
        <x:v>46235</x:v>
      </x:c>
      <x:c r="D19" s="16" t="str">
        <x:v>дата</x:v>
      </x:c>
      <x:c r="E19" s="16" t="str">
        <x:v>Дата проверки факта продаж и маржи.</x:v>
      </x:c>
      <x:c r="F19" s="16" t="str">
        <x:v>Ввод</x:v>
      </x:c>
    </x:row>
    <x:row r="20" ht="15" hidden="0" customHeight="1">
      <x:c r="A20" s="16" t="str">
        <x:v>Ответственный</x:v>
      </x:c>
      <x:c r="B20" s="16" t="str">
        <x:v>E-commerce директор</x:v>
      </x:c>
      <x:c r="C20" s="18" t="str">
        <x:v>E-commerce директор</x:v>
      </x:c>
      <x:c r="D20" s="16" t="str">
        <x:v>роль</x:v>
      </x:c>
      <x:c r="E20" s="16" t="str">
        <x:v>Отвечает за канал.</x:v>
      </x:c>
      <x:c r="F20" s="16" t="str">
        <x:v>Ввод</x:v>
      </x:c>
    </x:row>
  </x:sheetData>
  <x:mergeCells>
    <x:mergeCell ref="A1:F1"/>
    <x:mergeCell ref="A2:F2"/>
  </x:mergeCells>
  <x:dataValidations count="2">
    <x:dataValidation type="list" sqref="C18">
      <x:formula1>"Да,Нет"</x:formula1>
    </x:dataValidation>
    <x:dataValidation type="list" sqref="C13">
      <x:formula1>"ОСНО,УСН"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42" hidden="0" customWidth="1"/>
    <x:col min="3" max="3" width="22" hidden="0" customWidth="1"/>
    <x:col min="4" max="4" width="14" hidden="0" customWidth="1"/>
    <x:col min="5" max="5" width="62" hidden="0" customWidth="1"/>
  </x:cols>
  <x:sheetData>
    <x:row r="1" ht="18" hidden="0" customHeight="1">
      <x:c r="A1" s="5" t="str">
        <x:v>02 Расчет: экономика SKU / товарной позиции на маркетплейсе</x:v>
      </x:c>
      <x:c r="B1" s="5" t="str">
        <x:v>02 Расчет: экономика SKU / товарной позиции на маркетплейсе</x:v>
      </x:c>
      <x:c r="C1" s="5" t="str">
        <x:v>02 Расчет: экономика SKU / товарной позиции на маркетплейсе</x:v>
      </x:c>
      <x:c r="D1" s="5" t="str">
        <x:v>02 Расчет: экономика SKU / товарной позиции на маркетплейсе</x:v>
      </x:c>
      <x:c r="E1" s="5" t="str">
        <x:v>02 Расчет: экономика SKU / товарной позиции на маркетплейсе</x:v>
      </x:c>
    </x:row>
    <x:row r="2" ht="15" hidden="0" customHeight="1">
      <x:c r="A2" s="8" t="str">
        <x:v>Логика УМ: оценивать маркетплейс нужно по канальной марже и чистому вкладу, а не по обороту или карточной цене.</x:v>
      </x:c>
      <x:c r="B2" s="8" t="str">
        <x:v>Логика УМ: оценивать маркетплейс нужно по канальной марже и чистому вкладу, а не по обороту или карточной цене.</x:v>
      </x:c>
      <x:c r="C2" s="8" t="str">
        <x:v>Логика УМ: оценивать маркетплейс нужно по канальной марже и чистому вкладу, а не по обороту или карточной цене.</x:v>
      </x:c>
      <x:c r="D2" s="8" t="str">
        <x:v>Логика УМ: оценивать маркетплейс нужно по канальной марже и чистому вкладу, а не по обороту или карточной цене.</x:v>
      </x:c>
      <x:c r="E2" s="8" t="str">
        <x:v>Логика УМ: оценивать маркетплейс нужно по канальной марже и чистому вкладу, а не по обороту или карточной цене.</x:v>
      </x:c>
    </x:row>
    <x:row r="3"/>
    <x:row r="4" ht="15" hidden="0" customHeight="1">
      <x:c r="A4" s="13" t="str">
        <x:v>Блок</x:v>
      </x:c>
      <x:c r="B4" s="13" t="str">
        <x:v>Показатель</x:v>
      </x:c>
      <x:c r="C4" s="13" t="str">
        <x:v>Значение</x:v>
      </x:c>
      <x:c r="D4" s="13" t="str">
        <x:v>Ед.</x:v>
      </x:c>
      <x:c r="E4" s="13" t="str">
        <x:v>Формула / смысл</x:v>
      </x:c>
    </x:row>
    <x:row r="5" ht="15" hidden="0" customHeight="1">
      <x:c r="A5" s="16" t="str">
        <x:v>Цена</x:v>
      </x:c>
      <x:c r="B5" s="16" t="str">
        <x:v>Цена после скидки без НДС</x:v>
      </x:c>
      <x:c r="C5" s="23" t="n">
        <x:f>'01 Ввод'!C5*(1-'01 Ввод'!C11)</x:f>
        <x:v>2250</x:v>
      </x:c>
      <x:c r="D5" s="16" t="str">
        <x:v>руб.</x:v>
      </x:c>
      <x:c r="E5" s="16" t="str">
        <x:v>Цена после промо.</x:v>
      </x:c>
    </x:row>
    <x:row r="6" ht="15" hidden="0" customHeight="1">
      <x:c r="A6" s="16" t="str">
        <x:v>Маркетплейс</x:v>
      </x:c>
      <x:c r="B6" s="16" t="str">
        <x:v>Комиссия на единицу</x:v>
      </x:c>
      <x:c r="C6" s="23" t="n">
        <x:f>C5*'01 Ввод'!C7</x:f>
        <x:v>405</x:v>
      </x:c>
      <x:c r="D6" s="16" t="str">
        <x:v>руб.</x:v>
      </x:c>
      <x:c r="E6" s="16" t="str">
        <x:v>Комиссия маркетплейса.</x:v>
      </x:c>
    </x:row>
    <x:row r="7" ht="15" hidden="0" customHeight="1">
      <x:c r="A7" s="16" t="str">
        <x:v>Возвраты</x:v>
      </x:c>
      <x:c r="B7" s="16" t="str">
        <x:v>Выручка с учетом возвратов</x:v>
      </x:c>
      <x:c r="C7" s="23" t="n">
        <x:f>C5*(1-'01 Ввод'!C10)</x:f>
        <x:v>2070</x:v>
      </x:c>
      <x:c r="D7" s="16" t="str">
        <x:v>руб.</x:v>
      </x:c>
      <x:c r="E7" s="16" t="str">
        <x:v>Ожидаемая выручка после возвратов.</x:v>
      </x:c>
    </x:row>
    <x:row r="8" ht="15" hidden="0" customHeight="1">
      <x:c r="A8" s="16" t="str">
        <x:v>Маржа</x:v>
      </x:c>
      <x:c r="B8" s="16" t="str">
        <x:v>Канальный вклад на единицу</x:v>
      </x:c>
      <x:c r="C8" s="23" t="n">
        <x:f>C7-'01 Ввод'!C6-C6-'01 Ввод'!C8-'01 Ввод'!C9-'01 Ввод'!C12</x:f>
        <x:v>115</x:v>
      </x:c>
      <x:c r="D8" s="16" t="str">
        <x:v>руб.</x:v>
      </x:c>
      <x:c r="E8" s="16" t="str">
        <x:v>Выручка после возвратов минус все переменные расходы канала.</x:v>
      </x:c>
    </x:row>
    <x:row r="9" ht="15" hidden="0" customHeight="1">
      <x:c r="A9" s="16" t="str">
        <x:v>Маржа</x:v>
      </x:c>
      <x:c r="B9" s="16" t="str">
        <x:v>Канальная маржа</x:v>
      </x:c>
      <x:c r="C9" s="24" t="n">
        <x:f>IFERROR(C8/C5,0)</x:f>
        <x:v>0.051111111111111114</x:v>
      </x:c>
      <x:c r="D9" s="16" t="str">
        <x:v>%</x:v>
      </x:c>
      <x:c r="E9" s="16" t="str">
        <x:v>Канальный вклад / цена после скидки.</x:v>
      </x:c>
    </x:row>
    <x:row r="10" ht="15" hidden="0" customHeight="1">
      <x:c r="A10" s="16" t="str">
        <x:v>План</x:v>
      </x:c>
      <x:c r="B10" s="16" t="str">
        <x:v>Месячный вклад SKU</x:v>
      </x:c>
      <x:c r="C10" s="23" t="n">
        <x:f>C8*'01 Ввод'!C16</x:f>
        <x:v>115000</x:v>
      </x:c>
      <x:c r="D10" s="16" t="str">
        <x:v>руб.</x:v>
      </x:c>
      <x:c r="E10" s="16" t="str">
        <x:v>Канальный вклад × план продаж.</x:v>
      </x:c>
    </x:row>
    <x:row r="11" ht="15" hidden="0" customHeight="1">
      <x:c r="A11" s="16" t="str">
        <x:v>Порог</x:v>
      </x:c>
      <x:c r="B11" s="16" t="str">
        <x:v>Минимальная цена после скидки для целевой маржи</x:v>
      </x:c>
      <x:c r="C11" s="23" t="n">
        <x:f>IF(1-'01 Ввод'!C10-'01 Ввод'!C7-'01 Ввод'!C15&lt;=0,999999,('01 Ввод'!C6+'01 Ввод'!C8+'01 Ввод'!C9+'01 Ввод'!C12)/(1-'01 Ввод'!C10-'01 Ввод'!C7-'01 Ввод'!C15))</x:f>
        <x:v>2627.1186440677966</x:v>
      </x:c>
      <x:c r="D11" s="16" t="str">
        <x:v>руб.</x:v>
      </x:c>
      <x:c r="E11" s="16" t="str">
        <x:v>Цена после скидки для целевой канальной маржи.</x:v>
      </x:c>
    </x:row>
    <x:row r="12" ht="15" hidden="0" customHeight="1">
      <x:c r="A12" s="16" t="str">
        <x:v>Порог</x:v>
      </x:c>
      <x:c r="B12" s="16" t="str">
        <x:v>Минимальная цена до скидки</x:v>
      </x:c>
      <x:c r="C12" s="23" t="n">
        <x:f>IF(1-'01 Ввод'!C11&lt;=0,999999,C11/(1-'01 Ввод'!C11))</x:f>
        <x:v>2919.020715630885</x:v>
      </x:c>
      <x:c r="D12" s="16" t="str">
        <x:v>руб.</x:v>
      </x:c>
      <x:c r="E12" s="16" t="str">
        <x:v>Цена до скидки, которая нужна для целевой маржи.</x:v>
      </x:c>
    </x:row>
    <x:row r="13" ht="15" hidden="0" customHeight="1">
      <x:c r="A13" s="16" t="str">
        <x:v>Дельта</x:v>
      </x:c>
      <x:c r="B13" s="16" t="str">
        <x:v>Разрыв цены до скидки</x:v>
      </x:c>
      <x:c r="C13" s="23" t="n">
        <x:f>'01 Ввод'!C5-C12</x:f>
        <x:v>-419.0207156308852</x:v>
      </x:c>
      <x:c r="D13" s="16" t="str">
        <x:v>руб.</x:v>
      </x:c>
      <x:c r="E13" s="16" t="str">
        <x:v>Текущая цена минус требуемая цена.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0" hidden="0" customWidth="1"/>
    <x:col min="3" max="3" width="22" hidden="0" customWidth="1"/>
    <x:col min="4" max="4" width="22" hidden="0" customWidth="1"/>
    <x:col min="5" max="5" width="54" hidden="0" customWidth="1"/>
  </x:cols>
  <x:sheetData>
    <x:row r="1" ht="18" hidden="0" customHeight="1">
      <x:c r="A1" s="5"/>
      <x:c r="B1" s="5"/>
      <x:c r="C1" s="5"/>
      <x:c r="D1" s="5"/>
      <x:c r="E1" s="5"/>
    </x:row>
    <x:row r="2" ht="15" hidden="0" customHeight="1">
      <x:c r="A2" s="8"/>
      <x:c r="B2" s="8"/>
      <x:c r="C2" s="8"/>
      <x:c r="D2" s="8"/>
      <x:c r="E2" s="8"/>
    </x:row>
    <x:row r="3"/>
    <x:row r="4" ht="15" hidden="0" customHeight="1">
      <x:c r="A4" s="13" t="str">
        <x:v>Сценарий</x:v>
      </x:c>
      <x:c r="B4" s="13" t="str">
        <x:v>Параметр</x:v>
      </x:c>
      <x:c r="C4" s="13" t="str">
        <x:v>Результат</x:v>
      </x:c>
      <x:c r="D4" s="13" t="str">
        <x:v>Дельта / статус</x:v>
      </x:c>
      <x:c r="E4" s="13" t="str">
        <x:v>Вывод</x:v>
      </x:c>
    </x:row>
    <x:row r="5" ht="15" hidden="0" customHeight="1">
      <x:c r="A5" s="16" t="str">
        <x:v>Текущая цена</x:v>
      </x:c>
      <x:c r="B5" s="23" t="n">
        <x:f>'01 Ввод'!C5</x:f>
        <x:v>2500</x:v>
      </x:c>
      <x:c r="C5" s="23" t="n">
        <x:f>'02 Расчет'!C8</x:f>
        <x:v>115</x:v>
      </x:c>
      <x:c r="D5" s="24" t="n">
        <x:f>'02 Расчет'!C9</x:f>
        <x:v>0.051111111111111114</x:v>
      </x:c>
      <x:c r="E5" s="16" t="str">
        <x:f>IF(D5&gt;='01 Ввод'!C15,"проходит","не проходит")</x:f>
        <x:v>не проходит</x:v>
      </x:c>
    </x:row>
    <x:row r="6" ht="15" hidden="0" customHeight="1">
      <x:c r="A6" s="16" t="str">
        <x:v>Цена -5%</x:v>
      </x:c>
      <x:c r="B6" s="23" t="n">
        <x:f>'01 Ввод'!C5*0.95</x:f>
        <x:v>2375</x:v>
      </x:c>
      <x:c r="C6" s="23" t="n">
        <x:f>(B6*(1-'01 Ввод'!C11)*(1-'01 Ввод'!C10))-'01 Ввод'!C6-(B6*(1-'01 Ввод'!C11)*'01 Ввод'!C7)-'01 Ввод'!C8-'01 Ввод'!C9-'01 Ввод'!C12</x:f>
        <x:v>31.75</x:v>
      </x:c>
      <x:c r="D6" s="24" t="n">
        <x:f>IFERROR(C6/(B6*(1-'01 Ввод'!C11)),0)</x:f>
        <x:v>0.014853801169590643</x:v>
      </x:c>
      <x:c r="E6" s="16" t="str">
        <x:f>IF(D6&gt;='01 Ввод'!C15,"проходит","не проходит")</x:f>
        <x:v>не проходит</x:v>
      </x:c>
    </x:row>
    <x:row r="7" ht="15" hidden="0" customHeight="1">
      <x:c r="A7" s="16" t="str">
        <x:v>Цена +5%</x:v>
      </x:c>
      <x:c r="B7" s="23" t="n">
        <x:f>'01 Ввод'!C5*1.05</x:f>
        <x:v>2625</x:v>
      </x:c>
      <x:c r="C7" s="23" t="n">
        <x:f>(B7*(1-'01 Ввод'!C11)*(1-'01 Ввод'!C10))-'01 Ввод'!C6-(B7*(1-'01 Ввод'!C11)*'01 Ввод'!C7)-'01 Ввод'!C8-'01 Ввод'!C9-'01 Ввод'!C12</x:f>
        <x:v>198.25</x:v>
      </x:c>
      <x:c r="D7" s="24" t="n">
        <x:f>IFERROR(C7/(B7*(1-'01 Ввод'!C11)),0)</x:f>
        <x:v>0.08391534391534392</x:v>
      </x:c>
      <x:c r="E7" s="16" t="str">
        <x:f>IF(D7&gt;='01 Ввод'!C15,"проходит","не проходит")</x:f>
        <x:v>не проходит</x:v>
      </x:c>
    </x:row>
    <x:row r="8" ht="15" hidden="0" customHeight="1">
      <x:c r="A8" s="16" t="str">
        <x:v>Требуемая цена</x:v>
      </x:c>
      <x:c r="B8" s="23" t="n">
        <x:f>'02 Расчет'!C12</x:f>
        <x:v>2919.020715630885</x:v>
      </x:c>
      <x:c r="C8" s="23" t="n">
        <x:f>(B8*(1-'01 Ввод'!C11)*(1-'01 Ввод'!C10))-'01 Ввод'!C6-(B8*(1-'01 Ввод'!C11)*'01 Ввод'!C7)-'01 Ввод'!C8-'01 Ввод'!C9-'01 Ввод'!C12</x:f>
        <x:v>394.06779661016935</x:v>
      </x:c>
      <x:c r="D8" s="24" t="n">
        <x:f>IFERROR(C8/(B8*(1-'01 Ввод'!C11)),0)</x:f>
        <x:v>0.14999999999999994</x:v>
      </x:c>
      <x:c r="E8" s="16" t="str">
        <x:f>"целевой порог"</x:f>
        <x:v>целевой порог</x:v>
      </x:c>
    </x:row>
    <x:row r="9" ht="15" hidden="0" customHeight="1">
      <x:c r="A9" s="16" t="str">
        <x:v>Рост возвратов +5 п.п.</x:v>
      </x:c>
      <x:c r="B9" s="24" t="n">
        <x:f>'01 Ввод'!C10+0.05</x:f>
        <x:v>0.13</x:v>
      </x:c>
      <x:c r="C9" s="23" t="n">
        <x:f>'02 Расчет'!C5*(1-B9)-'01 Ввод'!C6-'02 Расчет'!C6-'01 Ввод'!C8-'01 Ввод'!C9-'01 Ввод'!C12</x:f>
        <x:v>2.5</x:v>
      </x:c>
      <x:c r="D9" s="24" t="n">
        <x:f>IFERROR(C9/'02 Расчет'!C5,0)</x:f>
        <x:v>0.0011111111111111111</x:v>
      </x:c>
      <x:c r="E9" s="16" t="str">
        <x:f>IF(D9&gt;='01 Ввод'!C15,"проходит","не проходит")</x:f>
        <x:v>не проходит</x:v>
      </x:c>
    </x:row>
    <x:row r="10"/>
    <x:row r="11"/>
    <x:row r="12"/>
    <x:row r="13" ht="15" hidden="0" customHeight="1">
      <x:c r="A13" s="13" t="str">
        <x:v>Параметр сценария</x:v>
      </x:c>
      <x:c r="B13" s="13" t="str">
        <x:v>Результат</x:v>
      </x:c>
    </x:row>
    <x:row r="14" ht="15" hidden="0" customHeight="1">
      <x:c r="A14" s="16" t="str">
        <x:v>Текущая</x:v>
      </x:c>
      <x:c r="B14" s="25" t="n">
        <x:f>C5</x:f>
        <x:v>115</x:v>
      </x:c>
    </x:row>
    <x:row r="15" ht="15" hidden="0" customHeight="1">
      <x:c r="A15" s="16" t="str">
        <x:v>Цена -5%</x:v>
      </x:c>
      <x:c r="B15" s="25" t="n">
        <x:f>C6</x:f>
        <x:v>31.75</x:v>
      </x:c>
    </x:row>
    <x:row r="16" ht="15" hidden="0" customHeight="1">
      <x:c r="A16" s="16" t="str">
        <x:v>Цена +5%</x:v>
      </x:c>
      <x:c r="B16" s="25" t="n">
        <x:f>C7</x:f>
        <x:v>198.25</x:v>
      </x:c>
    </x:row>
    <x:row r="17" ht="15" hidden="0" customHeight="1">
      <x:c r="A17" s="16" t="str">
        <x:v>Треб.</x:v>
      </x:c>
      <x:c r="B17" s="25" t="n">
        <x:f>C8</x:f>
        <x:v>394.06779661016935</x:v>
      </x:c>
    </x:row>
    <x:row r="18" ht="15" hidden="0" customHeight="1">
      <x:c r="A18" s="16" t="str">
        <x:v>Возвраты+</x:v>
      </x:c>
      <x:c r="B18" s="25" t="n">
        <x:f>C9</x:f>
        <x:v>2.5</x:v>
      </x:c>
    </x:row>
  </x:sheetData>
  <x:mergeCells>
    <x:mergeCell ref="A1:E1"/>
    <x:mergeCell ref="A2:E2"/>
  </x:mergeCells>
  <x:conditionalFormatting sqref="E5:E9">
    <x:cfRule type="containsText" dxfId="0" priority="1" operator="containsText" text="Нельзя"/>
    <x:cfRule type="containsText" dxfId="1" priority="2" operator="containsText" text="Можно при условиях"/>
    <x:cfRule type="containsText" dxfId="2" priority="3" operator="containsText" text="Можно"/>
    <x:cfRule type="containsText" dxfId="3" priority="4" operator="containsText" text="ОК"/>
    <x:cfRule type="containsText" dxfId="4" priority="5" operator="containsText" text="Провал"/>
    <x:cfRule type="containsText" dxfId="5" priority="6" operator="containsText" text="услов"/>
  </x:conditionalFormatting>
  <x:pageMargins left="0.7" right="0.7" top="0.75" bottom="0.75" header="0.3" footer="0.3"/>
  <x:drawing xmlns:r="http://schemas.openxmlformats.org/officeDocument/2006/relationships" r:id="R330cc700463f4556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36" hidden="0" customWidth="1"/>
    <x:col min="3" max="3" width="24" hidden="0" customWidth="1"/>
    <x:col min="4" max="4" width="58" hidden="0" customWidth="1"/>
    <x:col min="5" max="5" width="28" hidden="0" customWidth="1"/>
  </x:cols>
  <x:sheetData>
    <x:row r="1" ht="18" hidden="0" customHeight="1">
      <x:c r="A1" s="5" t="str">
        <x:v>04 Контуры проверки УМ</x:v>
      </x:c>
      <x:c r="B1" s="5" t="str">
        <x:v>04 Контуры проверки УМ</x:v>
      </x:c>
      <x:c r="C1" s="5" t="str">
        <x:v>04 Контуры проверки УМ</x:v>
      </x:c>
      <x:c r="D1" s="5" t="str">
        <x:v>04 Контуры проверки УМ</x:v>
      </x:c>
      <x:c r="E1" s="5" t="str">
        <x:v>04 Контуры проверки УМ</x:v>
      </x:c>
    </x:row>
    <x:row r="2" ht="15" hidden="0" customHeight="1">
      <x:c r="A2" s="8" t="str">
        <x:v>Контуры показывают, где решение проходит расчет, а где требует условия или отказа.</x:v>
      </x:c>
      <x:c r="B2" s="8" t="str">
        <x:v>Контуры показывают, где решение проходит расчет, а где требует условия или отказа.</x:v>
      </x:c>
      <x:c r="C2" s="8" t="str">
        <x:v>Контуры показывают, где решение проходит расчет, а где требует условия или отказа.</x:v>
      </x:c>
      <x:c r="D2" s="8" t="str">
        <x:v>Контуры показывают, где решение проходит расчет, а где требует условия или отказа.</x:v>
      </x:c>
      <x:c r="E2" s="8" t="str">
        <x:v>Контуры показывают, где решение проходит расчет, а где требует условия или отказа.</x:v>
      </x:c>
    </x:row>
    <x:row r="3"/>
    <x:row r="4" ht="15" hidden="0" customHeight="1">
      <x:c r="A4" s="13" t="str">
        <x:v>Контур</x:v>
      </x:c>
      <x:c r="B4" s="13" t="str">
        <x:v>Проверка</x:v>
      </x:c>
      <x:c r="C4" s="13" t="str">
        <x:v>Результат</x:v>
      </x:c>
      <x:c r="D4" s="13" t="str">
        <x:v>Как читать</x:v>
      </x:c>
      <x:c r="E4" s="13" t="str">
        <x:v>Ответственный</x:v>
      </x:c>
    </x:row>
    <x:row r="5" ht="15" hidden="0" customHeight="1">
      <x:c r="A5" s="16" t="str">
        <x:v>Маржа</x:v>
      </x:c>
      <x:c r="B5" s="16" t="str">
        <x:v>Канальная маржа проходит порог</x:v>
      </x:c>
      <x:c r="C5" s="22" t="str">
        <x:f>IF('02 Расчет'!C9&gt;='01 Ввод'!C15,"ОК","Провал")</x:f>
        <x:v>Провал</x:v>
      </x:c>
      <x:c r="D5" s="16" t="str">
        <x:v>Маржа должна быть не ниже целевой.</x:v>
      </x:c>
      <x:c r="E5" s="16" t="str">
        <x:v>E-commerce директор</x:v>
      </x:c>
    </x:row>
    <x:row r="6" ht="15" hidden="0" customHeight="1">
      <x:c r="A6" s="16" t="str">
        <x:v>Вклад</x:v>
      </x:c>
      <x:c r="B6" s="16" t="str">
        <x:v>Месячный вклад проходит порог</x:v>
      </x:c>
      <x:c r="C6" s="22" t="str">
        <x:f>IF('02 Расчет'!C10&gt;='01 Ввод'!C17,"ОК","Провал")</x:f>
        <x:v>Провал</x:v>
      </x:c>
      <x:c r="D6" s="16" t="str">
        <x:v>SKU должен давать минимальный вклад.</x:v>
      </x:c>
      <x:c r="E6" s="16" t="str">
        <x:v>Финансовый директор</x:v>
      </x:c>
    </x:row>
    <x:row r="7" ht="15" hidden="0" customHeight="1">
      <x:c r="A7" s="16" t="str">
        <x:v>Данные</x:v>
      </x:c>
      <x:c r="B7" s="16" t="str">
        <x:v>Тарифы подтверждены</x:v>
      </x:c>
      <x:c r="C7" s="22" t="str">
        <x:f>IF('01 Ввод'!C18="Да","ОК","Провал")</x:f>
        <x:v>ОК</x:v>
      </x:c>
      <x:c r="D7" s="16" t="str">
        <x:v>Комиссии и логистика должны быть подтверждены.</x:v>
      </x:c>
      <x:c r="E7" s="16" t="str">
        <x:v>E-commerce директор</x:v>
      </x:c>
    </x:row>
    <x:row r="8" ht="15" hidden="0" customHeight="1">
      <x:c r="A8" s="16" t="str">
        <x:v>Налоги</x:v>
      </x:c>
      <x:c r="B8" s="16" t="str">
        <x:v>Цена без НДС отделена</x:v>
      </x:c>
      <x:c r="C8" s="22" t="str">
        <x:f>IF('01 Ввод'!C13="ОСНО","ОК","ОК")</x:f>
        <x:v>ОК</x:v>
      </x:c>
      <x:c r="D8" s="16" t="str">
        <x:v>При ОСНО НДС не смешивается с выручкой.</x:v>
      </x:c>
      <x:c r="E8" s="16" t="str">
        <x:v>Финансовый директор</x:v>
      </x:c>
    </x:row>
  </x:sheetData>
  <x:mergeCells>
    <x:mergeCell ref="A1:E1"/>
    <x:mergeCell ref="A2:E2"/>
  </x:mergeCells>
  <x:conditionalFormatting sqref="C5:C8">
    <x:cfRule type="containsText" dxfId="6" priority="1" operator="containsText" text="Нельзя"/>
    <x:cfRule type="containsText" dxfId="7" priority="2" operator="containsText" text="Можно при условиях"/>
    <x:cfRule type="containsText" dxfId="8" priority="3" operator="containsText" text="Можно"/>
    <x:cfRule type="containsText" dxfId="9" priority="4" operator="containsText" text="ОК"/>
    <x:cfRule type="containsText" dxfId="10" priority="5" operator="containsText" text="Провал"/>
    <x:cfRule type="containsText" dxfId="11" priority="6" operator="containsText" text="услов"/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32" hidden="0" customWidth="1"/>
    <x:col min="3" max="3" width="62" hidden="0" customWidth="1"/>
  </x:cols>
  <x:sheetData>
    <x:row r="1" ht="18" hidden="0" customHeight="1">
      <x:c r="A1" s="5" t="str">
        <x:v>05 Статус решения</x:v>
      </x:c>
      <x:c r="B1" s="5" t="str">
        <x:v>05 Статус решения</x:v>
      </x:c>
      <x:c r="C1" s="5" t="str">
        <x:v>05 Статус решения</x:v>
      </x:c>
    </x:row>
    <x:row r="2" ht="15" hidden="0" customHeight="1">
      <x:c r="A2" s="8" t="str">
        <x:v>Статус рассчитывается из порога, сценариев, контуров и подтверждения данных. Статус не вводится вручную.</x:v>
      </x:c>
      <x:c r="B2" s="8" t="str">
        <x:v>Статус рассчитывается из порога, сценариев, контуров и подтверждения данных. Статус не вводится вручную.</x:v>
      </x:c>
      <x:c r="C2" s="8" t="str">
        <x:v>Статус рассчитывается из порога, сценариев, контуров и подтверждения данных. Статус не вводится вручную.</x:v>
      </x:c>
    </x:row>
    <x:row r="3"/>
    <x:row r="4" ht="15" hidden="0" customHeight="1">
      <x:c r="A4" s="13" t="str">
        <x:v>Проверка</x:v>
      </x:c>
      <x:c r="B4" s="13" t="str">
        <x:v>Значение</x:v>
      </x:c>
      <x:c r="C4" s="13" t="str">
        <x:v>Комментарий</x:v>
      </x:c>
    </x:row>
    <x:row r="5" ht="15" hidden="0" customHeight="1">
      <x:c r="A5" s="16" t="str">
        <x:v>Канальная маржа</x:v>
      </x:c>
      <x:c r="B5" s="24" t="n">
        <x:f>'02 Расчет'!C9</x:f>
        <x:v>0.051111111111111114</x:v>
      </x:c>
      <x:c r="C5" s="16" t="str">
        <x:v>Маржа после комиссии, логистики, возвратов и рекламы.</x:v>
      </x:c>
    </x:row>
    <x:row r="6" ht="15" hidden="0" customHeight="1">
      <x:c r="A6" s="16" t="str">
        <x:v>Целевая канальная маржа</x:v>
      </x:c>
      <x:c r="B6" s="24" t="n">
        <x:f>'01 Ввод'!C15</x:f>
        <x:v>0.15</x:v>
      </x:c>
      <x:c r="C6" s="16" t="str">
        <x:v>Порог допустимости.</x:v>
      </x:c>
    </x:row>
    <x:row r="7" ht="15" hidden="0" customHeight="1">
      <x:c r="A7" s="16" t="str">
        <x:v>Месячный вклад SKU</x:v>
      </x:c>
      <x:c r="B7" s="23" t="n">
        <x:f>'02 Расчет'!C10</x:f>
        <x:v>115000</x:v>
      </x:c>
      <x:c r="C7" s="16" t="str">
        <x:v>Денежный вклад SKU / товарной позиции.</x:v>
      </x:c>
    </x:row>
    <x:row r="8" ht="15" hidden="0" customHeight="1">
      <x:c r="A8" s="16" t="str">
        <x:v>Минимальный месячный вклад</x:v>
      </x:c>
      <x:c r="B8" s="23" t="n">
        <x:f>'01 Ввод'!C17</x:f>
        <x:v>300000</x:v>
      </x:c>
      <x:c r="C8" s="16" t="str">
        <x:v>Порог компании.</x:v>
      </x:c>
    </x:row>
    <x:row r="9" ht="15" hidden="0" customHeight="1">
      <x:c r="A9" s="16" t="str">
        <x:v>Разрыв цены до скидки</x:v>
      </x:c>
      <x:c r="B9" s="23" t="n">
        <x:f>'02 Расчет'!C13</x:f>
        <x:v>-419.0207156308852</x:v>
      </x:c>
      <x:c r="C9" s="16" t="str">
        <x:v>Если отрицательно, текущая цена ниже требуемой.</x:v>
      </x:c>
    </x:row>
    <x:row r="10" ht="15" hidden="0" customHeight="1">
      <x:c r="A10" s="27" t="str">
        <x:v>Статус решения</x:v>
      </x:c>
      <x:c r="B10" s="27" t="str">
        <x:f>IF(AND(B5&gt;=B6,B7&gt;=B8,'01 Ввод'!C18="Да"),"Можно",IF(AND('02 Расчет'!C8&gt;0,'01 Ввод'!C18="Да"),"Можно при условиях","Нельзя в текущей модели"))</x:f>
        <x:v>Можно при условиях</x:v>
      </x:c>
      <x:c r="C10" s="27" t="str">
        <x:v>Итоговый вердикт УМ.</x:v>
      </x:c>
    </x:row>
    <x:row r="11"/>
    <x:row r="12"/>
    <x:row r="13" ht="15" hidden="0" customHeight="1">
      <x:c r="A13" s="16" t="str">
        <x:v>Светофор</x:v>
      </x:c>
      <x:c r="B13" s="16"/>
    </x:row>
    <x:row r="14" ht="15" hidden="0" customHeight="1">
      <x:c r="A14" s="29" t="str">
        <x:v>Можно</x:v>
      </x:c>
      <x:c r="B14" s="29" t="str">
        <x:v>зеленый: расчет проходит</x:v>
      </x:c>
    </x:row>
    <x:row r="15" ht="26.399999618530273" hidden="0" customHeight="1">
      <x:c r="A15" s="26" t="str">
        <x:v>Можно при условиях</x:v>
      </x:c>
      <x:c r="B15" s="26" t="str">
        <x:v>желтый: запуск только при числовых условиях</x:v>
      </x:c>
    </x:row>
    <x:row r="16" ht="26.399999618530273" hidden="0" customHeight="1">
      <x:c r="A16" s="31" t="str">
        <x:v>Нельзя в текущей модели</x:v>
      </x:c>
      <x:c r="B16" s="31" t="str">
        <x:v>красный: текущие вводные не проходят расчет</x:v>
      </x:c>
    </x:row>
  </x:sheetData>
  <x:mergeCells>
    <x:mergeCell ref="A1:C1"/>
    <x:mergeCell ref="A2:C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96" hidden="0" customWidth="1"/>
  </x:cols>
  <x:sheetData>
    <x:row r="1" ht="18" hidden="0" customHeight="1">
      <x:c r="A1" s="5" t="str">
        <x:v>06 Управленческий ответ</x:v>
      </x:c>
      <x:c r="B1" s="5" t="str">
        <x:v>06 Управленческий ответ</x:v>
      </x:c>
    </x:row>
    <x:row r="2" ht="15" hidden="0" customHeight="1">
      <x:c r="A2" s="8" t="str">
        <x:v>Ответ формируется в управленческом языке: что разрешить, на каких условиях, что сказать адресату.</x:v>
      </x:c>
      <x:c r="B2" s="8" t="str">
        <x:v>Ответ формируется в управленческом языке: что разрешить, на каких условиях, что сказать адресату.</x:v>
      </x:c>
    </x:row>
    <x:row r="3"/>
    <x:row r="4" ht="15" hidden="0" customHeight="1">
      <x:c r="A4" s="13" t="str">
        <x:v>Блок ответа</x:v>
      </x:c>
      <x:c r="B4" s="13" t="str">
        <x:v>Текст</x:v>
      </x:c>
    </x:row>
    <x:row r="5" ht="26.399999618530273" hidden="0" customHeight="1">
      <x:c r="A5" s="29" t="str">
        <x:v>Короткий ответ</x:v>
      </x:c>
      <x:c r="B5" s="29" t="str">
        <x:f>"SKU / товарную позицию можно масштабировать только при канальной марже не ниже "&amp;TEXT('01 Ввод'!C15,"0%")&amp;" и месячном вкладе не ниже "&amp;TEXT('01 Ввод'!C17,"#,##0")&amp;" руб."</x:f>
        <x:v>SKU / товарную позицию можно масштабировать только при канальной марже не ниже 15% и месячном вкладе не ниже 300,000 руб.</x:v>
      </x:c>
    </x:row>
    <x:row r="6" ht="15" hidden="0" customHeight="1">
      <x:c r="A6" s="26" t="str">
        <x:v>Условия</x:v>
      </x:c>
      <x:c r="B6" s="26" t="str">
        <x:f>"Текущая канальная маржа: "&amp;TEXT('02 Расчет'!C9,"0.0%")&amp;"; минимальная цена до скидки для целевой маржи: "&amp;TEXT('02 Расчет'!C12,"#,##0")&amp;" руб."</x:f>
        <x:v>Текущая канальная маржа: 5.1%; минимальная цена до скидки для целевой маржи: 2,919 руб.</x:v>
      </x:c>
    </x:row>
    <x:row r="7" ht="26.399999618530273" hidden="0" customHeight="1">
      <x:c r="A7" s="26" t="str">
        <x:v>Пояснение</x:v>
      </x:c>
      <x:c r="B7" s="22" t="str">
        <x:f>"УМ показывает экономику канала после комиссии, логистики, возвратов и рекламы. Оборот маркетплейса сам по себе не является доказательством прибыльности."</x:f>
        <x:v>УМ показывает экономику канала после комиссии, логистики, возвратов и рекламы. Оборот маркетплейса сам по себе не является доказательством прибыльности.</x:v>
      </x:c>
    </x:row>
    <x:row r="8" ht="15" hidden="0" customHeight="1">
      <x:c r="A8" s="26" t="str">
        <x:v>Если условия не принимаются</x:v>
      </x:c>
      <x:c r="B8" s="26" t="str">
        <x:f>IF('05 Статус'!B10="Нельзя в текущей модели","Не масштабировать SKU в текущих условиях.","Если клиентская цена, комиссия или возвраты ухудшаются, SKU пересчитывается до запуска промо.")</x:f>
        <x:v>Если клиентская цена, комиссия или возвраты ухудшаются, SKU пересчитывается до запуска промо.</x:v>
      </x:c>
    </x:row>
    <x:row r="9" ht="15" hidden="0" customHeight="1">
      <x:c r="A9" s="16" t="str">
        <x:v>Что нельзя говорить</x:v>
      </x:c>
      <x:c r="B9" s="16" t="str">
        <x:v>Не принимать решение по обороту маркетплейса без канальной маржи и полной переменной нагрузки.</x:v>
      </x:c>
    </x:row>
  </x:sheetData>
  <x:mergeCells>
    <x:mergeCell ref="A1:B1"/>
    <x:mergeCell ref="A2:B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4" hidden="0" customWidth="1"/>
    <x:col min="3" max="3" width="22" hidden="0" customWidth="1"/>
    <x:col min="4" max="4" width="22" hidden="0" customWidth="1"/>
    <x:col min="5" max="5" width="54" hidden="0" customWidth="1"/>
    <x:col min="6" max="6" width="28" hidden="0" customWidth="1"/>
  </x:cols>
  <x:sheetData>
    <x:row r="1" ht="18" hidden="0" customHeight="1">
      <x:c r="A1" s="5" t="str">
        <x:v>07 Контроль исполнения</x:v>
      </x:c>
      <x:c r="B1" s="5" t="str">
        <x:v>07 Контроль исполнения</x:v>
      </x:c>
      <x:c r="C1" s="5" t="str">
        <x:v>07 Контроль исполнения</x:v>
      </x:c>
      <x:c r="D1" s="5" t="str">
        <x:v>07 Контроль исполнения</x:v>
      </x:c>
      <x:c r="E1" s="5" t="str">
        <x:v>07 Контроль исполнения</x:v>
      </x:c>
      <x:c r="F1" s="5" t="str">
        <x:v>07 Контроль исполнения</x:v>
      </x:c>
    </x:row>
    <x:row r="2" ht="15" hidden="0" customHeight="1">
      <x:c r="A2" s="8" t="str">
        <x:v>Контроль фиксирует показатель, порог, факт, статус, действие при отклонении и ответственного.</x:v>
      </x:c>
      <x:c r="B2" s="8" t="str">
        <x:v>Контроль фиксирует показатель, порог, факт, статус, действие при отклонении и ответственного.</x:v>
      </x:c>
      <x:c r="C2" s="8" t="str">
        <x:v>Контроль фиксирует показатель, порог, факт, статус, действие при отклонении и ответственного.</x:v>
      </x:c>
      <x:c r="D2" s="8" t="str">
        <x:v>Контроль фиксирует показатель, порог, факт, статус, действие при отклонении и ответственного.</x:v>
      </x:c>
      <x:c r="E2" s="8" t="str">
        <x:v>Контроль фиксирует показатель, порог, факт, статус, действие при отклонении и ответственного.</x:v>
      </x:c>
      <x:c r="F2" s="8" t="str">
        <x:v>Контроль фиксирует показатель, порог, факт, статус, действие при отклонении и ответственного.</x:v>
      </x:c>
    </x:row>
    <x:row r="3"/>
    <x:row r="4" ht="15" hidden="0" customHeight="1">
      <x:c r="A4" s="13" t="str">
        <x:v>Показатель контроля</x:v>
      </x:c>
      <x:c r="B4" s="13" t="str">
        <x:v>Порог</x:v>
      </x:c>
      <x:c r="C4" s="13" t="str">
        <x:v>Факт</x:v>
      </x:c>
      <x:c r="D4" s="13" t="str">
        <x:v>Статус</x:v>
      </x:c>
      <x:c r="E4" s="13" t="str">
        <x:v>Что делать при отклонении</x:v>
      </x:c>
      <x:c r="F4" s="13" t="str">
        <x:v>Ответственный</x:v>
      </x:c>
    </x:row>
    <x:row r="5" ht="15" hidden="0" customHeight="1">
      <x:c r="A5" s="16" t="str">
        <x:v>Канальная маржа</x:v>
      </x:c>
      <x:c r="B5" s="24" t="n">
        <x:f>'01 Ввод'!C15</x:f>
        <x:v>0.15</x:v>
      </x:c>
      <x:c r="C5" s="20"/>
      <x:c r="D5" s="16" t="str">
        <x:f>IF(C5="","ждет факта",IF(C5&gt;=B5,"ОК","Отклонение"))</x:f>
        <x:v>ждет факта</x:v>
      </x:c>
      <x:c r="E5" s="16" t="str">
        <x:v>Изменить цену, промо или отключить SKU.</x:v>
      </x:c>
      <x:c r="F5" s="16" t="str">
        <x:v>E-commerce директор</x:v>
      </x:c>
    </x:row>
    <x:row r="6" ht="15" hidden="0" customHeight="1">
      <x:c r="A6" s="16" t="str">
        <x:v>Месячный вклад SKU</x:v>
      </x:c>
      <x:c r="B6" s="23" t="n">
        <x:f>'01 Ввод'!C17</x:f>
        <x:v>300000</x:v>
      </x:c>
      <x:c r="C6" s="19"/>
      <x:c r="D6" s="16" t="str">
        <x:f>IF(C6="","ждет факта",IF(C6&gt;=B6,"ОК","Отклонение"))</x:f>
        <x:v>ждет факта</x:v>
      </x:c>
      <x:c r="E6" s="16" t="str">
        <x:v>Остановить масштабирование.</x:v>
      </x:c>
      <x:c r="F6" s="16" t="str">
        <x:v>Финансовый директор</x:v>
      </x:c>
    </x:row>
    <x:row r="7" ht="15" hidden="0" customHeight="1">
      <x:c r="A7" s="16" t="str">
        <x:v>Возвраты</x:v>
      </x:c>
      <x:c r="B7" s="24" t="n">
        <x:f>'01 Ввод'!C10</x:f>
        <x:v>0.08</x:v>
      </x:c>
      <x:c r="C7" s="20"/>
      <x:c r="D7" s="16" t="str">
        <x:f>IF(C7="","ждет факта",IF(C7&lt;=B7,"ОК","Отклонение"))</x:f>
        <x:v>ждет факта</x:v>
      </x:c>
      <x:c r="E7" s="16" t="str">
        <x:v>Пересчитать карточку и логистику.</x:v>
      </x:c>
      <x:c r="F7" s="16" t="str">
        <x:v>E-commerce директор</x:v>
      </x:c>
    </x:row>
    <x:row r="8" ht="15" hidden="0" customHeight="1">
      <x:c r="A8" s="16" t="str">
        <x:v>Дата контроля</x:v>
      </x:c>
      <x:c r="B8" s="33" t="n">
        <x:f>'01 Ввод'!C19</x:f>
        <x:v>46235</x:v>
      </x:c>
      <x:c r="C8" s="21"/>
      <x:c r="D8" s="16" t="str">
        <x:f>IF(C8="","ждет факта",IF(C8&lt;=B8,"ОК","Отклонение"))</x:f>
        <x:v>ждет факта</x:v>
      </x:c>
      <x:c r="E8" s="16" t="str">
        <x:v>Проверить факт маржи и возвратов.</x:v>
      </x:c>
      <x:c r="F8" s="16" t="str">
        <x:v>E-commerce директор</x:v>
      </x:c>
    </x:row>
  </x:sheetData>
  <x:mergeCells>
    <x:mergeCell ref="A1:F1"/>
    <x:mergeCell ref="A2:F2"/>
  </x:mergeCells>
  <x:conditionalFormatting sqref="D5:D8">
    <x:cfRule type="containsText" dxfId="12" priority="1" operator="containsText" text="Нельзя"/>
    <x:cfRule type="containsText" dxfId="13" priority="2" operator="containsText" text="Можно при условиях"/>
    <x:cfRule type="containsText" dxfId="14" priority="3" operator="containsText" text="Можно"/>
    <x:cfRule type="containsText" dxfId="15" priority="4" operator="containsText" text="ОК"/>
    <x:cfRule type="containsText" dxfId="16" priority="5" operator="containsText" text="Провал"/>
    <x:cfRule type="containsText" dxfId="17" priority="6" operator="containsText" text="услов"/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" hidden="0" customWidth="1"/>
    <x:col min="2" max="2" width="22" hidden="0" customWidth="1"/>
    <x:col min="3" max="3" width="62" hidden="0" customWidth="1"/>
  </x:cols>
  <x:sheetData>
    <x:row r="1" ht="18" hidden="0" customHeight="1">
      <x:c r="A1" s="5" t="str">
        <x:v>08 Проверка модели</x:v>
      </x:c>
      <x:c r="B1" s="5" t="str">
        <x:v>08 Проверка модели</x:v>
      </x:c>
      <x:c r="C1" s="5" t="str">
        <x:v>08 Проверка модели</x:v>
      </x:c>
    </x:row>
    <x:row r="2" ht="15" hidden="0" customHeight="1">
      <x:c r="A2" s="8" t="str">
        <x:v>Проверка подтверждает, что решатор является расчетной моделью, а не статическим примером.</x:v>
      </x:c>
      <x:c r="B2" s="8" t="str">
        <x:v>Проверка подтверждает, что решатор является расчетной моделью, а не статическим примером.</x:v>
      </x:c>
      <x:c r="C2" s="8" t="str">
        <x:v>Проверка подтверждает, что решатор является расчетной моделью, а не статическим примером.</x:v>
      </x:c>
    </x:row>
    <x:row r="3"/>
    <x:row r="4" ht="15" hidden="0" customHeight="1">
      <x:c r="A4" s="13" t="str">
        <x:v>Проверка</x:v>
      </x:c>
      <x:c r="B4" s="13" t="str">
        <x:v>Результат</x:v>
      </x:c>
      <x:c r="C4" s="13" t="str">
        <x:v>Комментарий</x:v>
      </x:c>
    </x:row>
    <x:row r="5" ht="15" hidden="0" customHeight="1">
      <x:c r="A5" s="16" t="str">
        <x:v>Статус рассчитан</x:v>
      </x:c>
      <x:c r="B5" s="22" t="str">
        <x:f>IF('05 Статус'!B10&lt;&gt;"","PASS","FAIL")</x:f>
        <x:v>PASS</x:v>
      </x:c>
      <x:c r="C5" s="16" t="str">
        <x:v>Статус не должен быть пустым.</x:v>
      </x:c>
    </x:row>
    <x:row r="6" ht="15" hidden="0" customHeight="1">
      <x:c r="A6" s="16" t="str">
        <x:v>Ключевой порог рассчитан</x:v>
      </x:c>
      <x:c r="B6" s="22" t="str">
        <x:f>IF(ISNUMBER('02 Расчет'!C12),"PASS","FAIL")</x:f>
        <x:v>PASS</x:v>
      </x:c>
      <x:c r="C6" s="16" t="str">
        <x:v>Главный порог должен быть числом.</x:v>
      </x:c>
    </x:row>
    <x:row r="7" ht="15" hidden="0" customHeight="1">
      <x:c r="A7" s="16" t="str">
        <x:v>Ответ сформирован</x:v>
      </x:c>
      <x:c r="B7" s="22" t="str">
        <x:f>IF('06 Ответ'!B5&lt;&gt;"","PASS","FAIL")</x:f>
        <x:v>PASS</x:v>
      </x:c>
      <x:c r="C7" s="16" t="str">
        <x:v>Управленческий ответ должен быть текстом.</x:v>
      </x:c>
    </x:row>
    <x:row r="8" ht="15" hidden="0" customHeight="1">
      <x:c r="A8" s="16" t="str">
        <x:v>Данные подтверждены или явно ограничены</x:v>
      </x:c>
      <x:c r="B8" s="22" t="str">
        <x:f>IF('01 Ввод'!C18="Да","PASS","FAIL")</x:f>
        <x:v>PASS</x:v>
      </x:c>
      <x:c r="C8" s="16" t="str">
        <x:v>Качество данных влияет на статус.</x:v>
      </x:c>
    </x:row>
    <x:row r="9" ht="15" hidden="0" customHeight="1">
      <x:c r="A9" s="16" t="str">
        <x:v>Нет отрицательной логики</x:v>
      </x:c>
      <x:c r="B9" s="22" t="str">
        <x:f>IF('02 Расчет'!C5&gt;0,"PASS","FAIL")</x:f>
        <x:v>PASS</x:v>
      </x:c>
      <x:c r="C9" s="16" t="str">
        <x:v>Порог и результат должны быть управленчески интерпретируемы.</x:v>
      </x:c>
    </x:row>
    <x:row r="10" ht="15" hidden="0" customHeight="1">
      <x:c r="A10" s="16" t="str">
        <x:v>Модель готова к проверке</x:v>
      </x:c>
      <x:c r="B10" s="22" t="str">
        <x:f>IF(COUNTIF(B5:B9,"FAIL")=0,"PASS","FAIL")</x:f>
        <x:v>PASS</x:v>
      </x:c>
      <x:c r="C10" s="16" t="str">
        <x:v>Если все PASS, файл можно тестировать вручную.</x:v>
      </x:c>
    </x:row>
  </x:sheetData>
  <x:mergeCells>
    <x:mergeCell ref="A1:C1"/>
    <x:mergeCell ref="A2:C2"/>
  </x:mergeCells>
  <x:conditionalFormatting sqref="B5:B10">
    <x:cfRule type="containsText" dxfId="18" priority="1" operator="containsText" text="Нельзя"/>
    <x:cfRule type="containsText" dxfId="19" priority="2" operator="containsText" text="Можно при условиях"/>
    <x:cfRule type="containsText" dxfId="20" priority="3" operator="containsText" text="Можно"/>
    <x:cfRule type="containsText" dxfId="21" priority="4" operator="containsText" text="ОК"/>
    <x:cfRule type="containsText" dxfId="22" priority="5" operator="containsText" text="Провал"/>
    <x:cfRule type="containsText" dxfId="23" priority="6" operator="containsText" text="услов"/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8" hidden="0" customWidth="1"/>
    <x:col min="3" max="3" width="54" hidden="0" customWidth="1"/>
    <x:col min="4" max="4" width="92" hidden="0" customWidth="1"/>
    <x:col min="5" max="5" width="24" hidden="0" customWidth="1"/>
  </x:cols>
  <x:sheetData>
    <x:row r="1" ht="18" hidden="0" customHeight="1">
      <x:c r="A1" s="74" t="str">
        <x:v>00 Каталог решаторов УМ</x:v>
      </x:c>
      <x:c r="B1" s="74" t="str">
        <x:v>00 Каталог решаторов УМ</x:v>
      </x:c>
      <x:c r="C1" s="74" t="str">
        <x:v>00 Каталог решаторов УМ</x:v>
      </x:c>
      <x:c r="D1" s="74" t="str">
        <x:v>00 Каталог решаторов УМ</x:v>
      </x:c>
      <x:c r="E1" s="74" t="str">
        <x:v>00 Каталог решаторов УМ</x:v>
      </x:c>
    </x:row>
    <x:row r="2" ht="15" hidden="0" customHeight="1">
      <x:c r="A2" s="76" t="str">
        <x:v>Навигационный лист: полный каталог типовых решаторов УМ / Управленческой математики и статус текущего файла.</x:v>
      </x:c>
      <x:c r="B2" s="76" t="str">
        <x:v>Навигационный лист: полный каталог типовых решаторов УМ / Управленческой математики и статус текущего файла.</x:v>
      </x:c>
      <x:c r="C2" s="76" t="str">
        <x:v>Навигационный лист: полный каталог типовых решаторов УМ / Управленческой математики и статус текущего файла.</x:v>
      </x:c>
      <x:c r="D2" s="76" t="str">
        <x:v>Навигационный лист: полный каталог типовых решаторов УМ / Управленческой математики и статус текущего файла.</x:v>
      </x:c>
      <x:c r="E2" s="76" t="str">
        <x:v>Навигационный лист: полный каталог типовых решаторов УМ / Управленческой математики и статус текущего файла.</x:v>
      </x:c>
    </x:row>
    <x:row r="3"/>
    <x:row r="4" ht="15" hidden="0" customHeight="1">
      <x:c r="A4" s="81" t="str">
        <x:v>№</x:v>
      </x:c>
      <x:c r="B4" s="81" t="str">
        <x:v>Группа задач</x:v>
      </x:c>
      <x:c r="C4" s="81" t="str">
        <x:v>Название решатора</x:v>
      </x:c>
      <x:c r="D4" s="81" t="str">
        <x:v>Что показывает</x:v>
      </x:c>
      <x:c r="E4" s="81" t="str">
        <x:v>Статус</x:v>
      </x:c>
    </x:row>
    <x:row r="5" ht="15" hidden="0" customHeight="1">
      <x:c r="A5" s="82" t="n">
        <x:v>1</x:v>
      </x:c>
      <x:c r="B5" s="82" t="str">
        <x:v>Коммерческие условия</x:v>
      </x:c>
      <x:c r="C5" s="82" t="str">
        <x:v>Скидка и отсрочка клиента</x:v>
      </x:c>
      <x:c r="D5" s="82" t="str">
        <x:v>Какой рост закупки нужен, чтобы скидка и отсрочка не ухудшили результат.</x:v>
      </x:c>
      <x:c r="E5" s="82" t="str">
        <x:v>Создан</x:v>
      </x:c>
    </x:row>
    <x:row r="6" ht="15" hidden="0" customHeight="1">
      <x:c r="A6" s="82" t="n">
        <x:v>2</x:v>
      </x:c>
      <x:c r="B6" s="82" t="str">
        <x:v>Коммерческие условия</x:v>
      </x:c>
      <x:c r="C6" s="82" t="str">
        <x:v>Минимальный объем для спецусловий</x:v>
      </x:c>
      <x:c r="D6" s="82" t="str">
        <x:v>При каком объеме можно дать цену, бонус, отсрочку или индивидуальные условия.</x:v>
      </x:c>
      <x:c r="E6" s="82" t="str">
        <x:v>Создан</x:v>
      </x:c>
    </x:row>
    <x:row r="7" ht="15" hidden="0" customHeight="1">
      <x:c r="A7" s="82" t="n">
        <x:v>3</x:v>
      </x:c>
      <x:c r="B7" s="82" t="str">
        <x:v>Коммерческие условия</x:v>
      </x:c>
      <x:c r="C7" s="82" t="str">
        <x:v>Цена сделки после всех условий</x:v>
      </x:c>
      <x:c r="D7" s="82" t="str">
        <x:v>Реальную прибыльность клиента после скидок, бонусов, логистики и отсрочки.</x:v>
      </x:c>
      <x:c r="E7" s="82" t="str">
        <x:v>Создан</x:v>
      </x:c>
    </x:row>
    <x:row r="8" ht="15" hidden="0" customHeight="1">
      <x:c r="A8" s="82" t="n">
        <x:v>4</x:v>
      </x:c>
      <x:c r="B8" s="82" t="str">
        <x:v>Маркетинг и каналы</x:v>
      </x:c>
      <x:c r="C8" s="82" t="str">
        <x:v>Рекламный бюджет и ROMI / возврат маркетинговых инвестиций</x:v>
      </x:c>
      <x:c r="D8" s="82" t="str">
        <x:v>Какой объем продаж нужен, чтобы рекламный бюджет окупился.</x:v>
      </x:c>
      <x:c r="E8" s="82" t="str">
        <x:v>Создан</x:v>
      </x:c>
    </x:row>
    <x:row r="9" ht="15" hidden="0" customHeight="1">
      <x:c r="A9" s="82" t="n">
        <x:v>5</x:v>
      </x:c>
      <x:c r="B9" s="82" t="str">
        <x:v>Маркетинг и каналы</x:v>
      </x:c>
      <x:c r="C9" s="82" t="str">
        <x:v>Промо-акция без потери прибыли</x:v>
      </x:c>
      <x:c r="D9" s="82" t="str">
        <x:v>Какой рост продаж должен компенсировать скидку, промо и дополнительные расходы.</x:v>
      </x:c>
      <x:c r="E9" s="82" t="str">
        <x:v>Создан</x:v>
      </x:c>
    </x:row>
    <x:row r="10" ht="15" hidden="0" customHeight="1">
      <x:c r="A10" s="82" t="n">
        <x:v>6</x:v>
      </x:c>
      <x:c r="B10" s="82" t="str">
        <x:v>Маркетинг и каналы</x:v>
      </x:c>
      <x:c r="C10" s="82" t="str">
        <x:v>Канал продаж: выгодно или нет</x:v>
      </x:c>
      <x:c r="D10" s="82" t="str">
        <x:v>Чистый результат канала после комиссии, логистики, возвратов и налогового контура.</x:v>
      </x:c>
      <x:c r="E10" s="82" t="str">
        <x:v>Создан</x:v>
      </x:c>
    </x:row>
    <x:row r="11" ht="15" hidden="0" customHeight="1">
      <x:c r="A11" s="85" t="n">
        <x:v>7</x:v>
      </x:c>
      <x:c r="B11" s="85" t="str">
        <x:v>Маркетплейсы</x:v>
      </x:c>
      <x:c r="C11" s="85" t="str">
        <x:v>Маркетплейс: цена, комиссия, логистика</x:v>
      </x:c>
      <x:c r="D11" s="85" t="str">
        <x:v>Реальную маржу SKU / товарной позиции на маркетплейсе.</x:v>
      </x:c>
      <x:c r="E11" s="85" t="str">
        <x:v>Текущий файл</x:v>
      </x:c>
    </x:row>
    <x:row r="12" ht="15" hidden="0" customHeight="1">
      <x:c r="A12" s="82" t="n">
        <x:v>8</x:v>
      </x:c>
      <x:c r="B12" s="82" t="str">
        <x:v>Маркетплейсы</x:v>
      </x:c>
      <x:c r="C12" s="82" t="str">
        <x:v>Участие в акции маркетплейса</x:v>
      </x:c>
      <x:c r="D12" s="82" t="str">
        <x:v>Можно ли входить в акцию и какой рост продаж нужен для сохранения результата.</x:v>
      </x:c>
      <x:c r="E12" s="82" t="str">
        <x:v>Создан</x:v>
      </x:c>
    </x:row>
    <x:row r="13" ht="15" hidden="0" customHeight="1">
      <x:c r="A13" s="82" t="n">
        <x:v>9</x:v>
      </x:c>
      <x:c r="B13" s="82" t="str">
        <x:v>Ассортимент и продукт</x:v>
      </x:c>
      <x:c r="C13" s="82" t="str">
        <x:v>SKU: оставить, поднять цену или убрать</x:v>
      </x:c>
      <x:c r="D13" s="82" t="str">
        <x:v>Какие товарные позиции создают результат, а какие съедают деньги.</x:v>
      </x:c>
      <x:c r="E13" s="82" t="str">
        <x:v>Создан</x:v>
      </x:c>
    </x:row>
    <x:row r="14" ht="15" hidden="0" customHeight="1">
      <x:c r="A14" s="82" t="n">
        <x:v>10</x:v>
      </x:c>
      <x:c r="B14" s="82" t="str">
        <x:v>Ассортимент и продукт</x:v>
      </x:c>
      <x:c r="C14" s="82" t="str">
        <x:v>Новый продукт: точка допустимого запуска</x:v>
      </x:c>
      <x:c r="D14" s="82" t="str">
        <x:v>Минимальный объем, цена и маржа для запуска продукта.</x:v>
      </x:c>
      <x:c r="E14" s="82" t="str">
        <x:v>Создан</x:v>
      </x:c>
    </x:row>
    <x:row r="15" ht="15" hidden="0" customHeight="1">
      <x:c r="A15" s="82" t="n">
        <x:v>11</x:v>
      </x:c>
      <x:c r="B15" s="82" t="str">
        <x:v>Операции и логистика</x:v>
      </x:c>
      <x:c r="C15" s="82" t="str">
        <x:v>Запас и оборачиваемость</x:v>
      </x:c>
      <x:c r="D15" s="82" t="str">
        <x:v>Сколько денег замораживает запас и где начинается лишняя складская нагрузка.</x:v>
      </x:c>
      <x:c r="E15" s="82" t="str">
        <x:v>Создан</x:v>
      </x:c>
    </x:row>
    <x:row r="16" ht="15" hidden="0" customHeight="1">
      <x:c r="A16" s="82" t="n">
        <x:v>12</x:v>
      </x:c>
      <x:c r="B16" s="82" t="str">
        <x:v>Операции и логистика</x:v>
      </x:c>
      <x:c r="C16" s="82" t="str">
        <x:v>Производственная партия</x:v>
      </x:c>
      <x:c r="D16" s="82" t="str">
        <x:v>При каком объеме партия покрывает себестоимость, брак, логистику и операционные ограничения.</x:v>
      </x:c>
      <x:c r="E16" s="82" t="str">
        <x:v>Создан</x:v>
      </x:c>
    </x:row>
    <x:row r="17" ht="15" hidden="0" customHeight="1">
      <x:c r="A17" s="82" t="n">
        <x:v>13</x:v>
      </x:c>
      <x:c r="B17" s="82" t="str">
        <x:v>Операции и логистика</x:v>
      </x:c>
      <x:c r="C17" s="82" t="str">
        <x:v>SLA / уровень сервиса и цена выполнения</x:v>
      </x:c>
      <x:c r="D17" s="82" t="str">
        <x:v>Сколько стоит повышенный уровень сервиса и можно ли его обещать клиенту.</x:v>
      </x:c>
      <x:c r="E17" s="82" t="str">
        <x:v>Создан</x:v>
      </x:c>
    </x:row>
    <x:row r="18" ht="15" hidden="0" customHeight="1">
      <x:c r="A18" s="82" t="n">
        <x:v>14</x:v>
      </x:c>
      <x:c r="B18" s="82" t="str">
        <x:v>Финансы и деньги</x:v>
      </x:c>
      <x:c r="C18" s="82" t="str">
        <x:v>Денежный разрыв по решению</x:v>
      </x:c>
      <x:c r="D18" s="82" t="str">
        <x:v>Сколько денег нужно до поступления оплаты и выдерживает ли компания кассовый контур.</x:v>
      </x:c>
      <x:c r="E18" s="82" t="str">
        <x:v>Создан</x:v>
      </x:c>
    </x:row>
    <x:row r="19" ht="15" hidden="0" customHeight="1">
      <x:c r="A19" s="82" t="n">
        <x:v>15</x:v>
      </x:c>
      <x:c r="B19" s="82" t="str">
        <x:v>Финансы и деньги</x:v>
      </x:c>
      <x:c r="C19" s="82" t="str">
        <x:v>НДС и налоговый контур при ОСНО</x:v>
      </x:c>
      <x:c r="D19" s="82" t="str">
        <x:v>Как налоговый режим влияет на чистый результат и денежный поток.</x:v>
      </x:c>
      <x:c r="E19" s="82" t="str">
        <x:v>Создан</x:v>
      </x:c>
    </x:row>
    <x:row r="20" ht="15" hidden="0" customHeight="1">
      <x:c r="A20" s="82" t="n">
        <x:v>16</x:v>
      </x:c>
      <x:c r="B20" s="82" t="str">
        <x:v>Финансы и деньги</x:v>
      </x:c>
      <x:c r="C20" s="82" t="str">
        <x:v>ROI / возврат инвестиций и срок окупаемости</x:v>
      </x:c>
      <x:c r="D20" s="82" t="str">
        <x:v>Окупается ли вложение и при каких сценариях оно становится недопустимым.</x:v>
      </x:c>
      <x:c r="E20" s="82" t="str">
        <x:v>Создан</x:v>
      </x:c>
    </x:row>
    <x:row r="21" ht="15" hidden="0" customHeight="1">
      <x:c r="A21" s="82" t="n">
        <x:v>17</x:v>
      </x:c>
      <x:c r="B21" s="82" t="str">
        <x:v>Специальные решения</x:v>
      </x:c>
      <x:c r="C21" s="82" t="str">
        <x:v>TCO / совокупная стоимость владения проекта</x:v>
      </x:c>
      <x:c r="D21" s="82" t="str">
        <x:v>Полную стоимость решения: покупка, внедрение, поддержка, люди, риски.</x:v>
      </x:c>
      <x:c r="E21" s="82" t="str">
        <x:v>Создан</x:v>
      </x:c>
    </x:row>
    <x:row r="22" ht="15" hidden="0" customHeight="1">
      <x:c r="A22" s="82" t="n">
        <x:v>18</x:v>
      </x:c>
      <x:c r="B22" s="82" t="str">
        <x:v>Специальные решения</x:v>
      </x:c>
      <x:c r="C22" s="82" t="str">
        <x:v>Найм / подрядчик / автоматизация</x:v>
      </x:c>
      <x:c r="D22" s="82" t="str">
        <x:v>Что выгоднее: человек, подрядчик, автоматизация или отказ от инициативы.</x:v>
      </x:c>
      <x:c r="E22" s="82" t="str">
        <x:v>Создан</x:v>
      </x:c>
    </x:row>
    <x:row r="23"/>
    <x:row r="24" ht="15" hidden="0" customHeight="1">
      <x:c r="A24"/>
      <x:c r="B24"/>
      <x:c r="C24"/>
      <x:c r="D24"/>
      <x:c r="E24"/>
    </x:row>
    <x:row r="25" ht="15" hidden="0" customHeight="1">
      <x:c r="A25"/>
      <x:c r="B25"/>
      <x:c r="C25"/>
      <x:c r="D25"/>
      <x:c r="E25"/>
    </x:row>
    <x:row r="26" ht="15" hidden="0" customHeight="1">
      <x:c r="A26"/>
      <x:c r="B26"/>
      <x:c r="C26"/>
      <x:c r="D26"/>
      <x:c r="E26"/>
    </x:row>
  </x:sheetData>
  <x:mergeCells>
    <x:mergeCell ref="A1:E1"/>
    <x:mergeCell ref="A2:E2"/>
    <x:mergeCell ref="A24:E24"/>
    <x:mergeCell ref="A25:E25"/>
    <x:mergeCell ref="A26:E26"/>
  </x:mergeCells>
  <x:pageMargins left="0.7" right="0.7" top="0.75" bottom="0.75" header="0.3" footer="0.3"/>
</x:worksheet>
</file>