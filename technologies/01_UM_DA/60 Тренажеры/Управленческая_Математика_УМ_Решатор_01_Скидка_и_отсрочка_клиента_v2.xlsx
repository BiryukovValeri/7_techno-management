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864c0a026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Ввод" sheetId="1" r:id="R1424330e44384291"/>
    <x:sheet xmlns:r="http://schemas.openxmlformats.org/officeDocument/2006/relationships" name="02 Расчет" sheetId="2" r:id="R1b44c52f794f46aa"/>
    <x:sheet xmlns:r="http://schemas.openxmlformats.org/officeDocument/2006/relationships" name="03 Сценарии" sheetId="3" r:id="R8d30edf78e214770"/>
    <x:sheet xmlns:r="http://schemas.openxmlformats.org/officeDocument/2006/relationships" name="04 Контуры" sheetId="4" r:id="Ra59db0d994fa4644"/>
    <x:sheet xmlns:r="http://schemas.openxmlformats.org/officeDocument/2006/relationships" name="05 Статус" sheetId="5" r:id="R67085cb2bef94ba3"/>
    <x:sheet xmlns:r="http://schemas.openxmlformats.org/officeDocument/2006/relationships" name="06 Ответ клиенту" sheetId="6" r:id="Rd982a010ea034dc2"/>
    <x:sheet xmlns:r="http://schemas.openxmlformats.org/officeDocument/2006/relationships" name="07 Контроль" sheetId="7" r:id="R673966d7962e4ede"/>
    <x:sheet xmlns:r="http://schemas.openxmlformats.org/officeDocument/2006/relationships" name="08 Проверка" sheetId="8" r:id="R788e474affa74d1b"/>
    <x:sheet xmlns:r="http://schemas.openxmlformats.org/officeDocument/2006/relationships" name="00 Каталог" sheetId="9" r:id="R4e7c217a6c1646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0"/>
    <x:numFmt numFmtId="203" formatCode="yyyy-mm-dd"/>
    <x:numFmt numFmtId="204" formatCode="0.00x"/>
  </x:numFmts>
  <x:fonts count="1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111827"/>
      <x:name val="Carlito"/>
    </x:font>
    <x:font>
      <x:i/>
      <x:sz val="11"/>
      <x:color rgb="FF111827"/>
      <x:name val="Carlito"/>
    </x:font>
    <x:font>
      <x:b/>
      <x:sz val="11"/>
      <x:color rgb="FF111827"/>
      <x:name val="Carlito"/>
    </x:font>
    <x:font>
      <x:sz val="11"/>
      <x:color rgb="FF7A4A00"/>
      <x:name val="Carlito"/>
    </x:font>
    <x:font>
      <x:b/>
      <x:sz val="11"/>
      <x:color rgb="FF7A4A00"/>
      <x:name val="Carlito"/>
    </x:font>
    <x:font>
      <x:b/>
      <x:sz val="11"/>
      <x:color rgb="FF1F6B4E"/>
      <x:name val="Carlito"/>
    </x:font>
    <x:font>
      <x:sz val="11"/>
      <x:color rgb="FF7A4A00"/>
      <x:name val="Carlito"/>
    </x:font>
    <x:font>
      <x:sz val="11"/>
      <x:color rgb="FF111827"/>
      <x:name val="Carlito"/>
    </x:font>
    <x:font>
      <x:sz val="11"/>
      <x:color rgb="FF1F6B4E"/>
      <x:name val="Carlito"/>
    </x:font>
    <x:font>
      <x:sz val="11"/>
      <x:color rgb="FF8A2D2D"/>
      <x:name val="Carlito"/>
    </x:font>
  </x:fonts>
  <x:fills count="29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FF3C4"/>
      </x:patternFill>
    </x:fill>
    <x:fill>
      <x:patternFill patternType="solid">
        <x:fgColor rgb="FFEAF3F6"/>
      </x:patternFill>
    </x:fill>
    <x:fill>
      <x:patternFill patternType="solid">
        <x:fgColor rgb="FFA66A3F"/>
      </x:patternFill>
    </x:fill>
    <x:fill>
      <x:patternFill patternType="solid">
        <x:fgColor rgb="FF2F6F6B"/>
      </x:patternFill>
    </x:fill>
    <x:fill>
      <x:patternFill patternType="solid">
        <x:fgColor rgb="FFFFF3C4"/>
      </x:patternFill>
    </x:fill>
    <x:fill>
      <x:patternFill patternType="solid">
        <x:fgColor rgb="FFDDEFEA"/>
      </x:patternFill>
    </x:fill>
    <x:fill>
      <x:patternFill patternType="solid">
        <x:fgColor rgb="FFEAF3F6"/>
      </x:patternFill>
    </x:fill>
    <x:fill>
      <x:patternFill patternType="solid">
        <x:fgColor rgb="FFDDEFEA"/>
      </x:patternFill>
    </x:fill>
    <x:fill>
      <x:patternFill patternType="solid">
        <x:fgColor rgb="FFFDE2E2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DDEFEA"/>
      </x:patternFill>
    </x:fill>
    <x:fill>
      <x:patternFill patternType="solid">
        <x:fgColor rgb="FFF4FAF8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DDEFEA"/>
      </x:patternFill>
    </x:fill>
    <x:fill>
      <x:patternFill patternType="solid">
        <x:fgColor rgb="FFF4FAF8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DDEFEA"/>
      </x:patternFill>
    </x:fill>
    <x:fill>
      <x:patternFill patternType="solid">
        <x:fgColor rgb="FFF4FAF8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200" fontId="6" fillId="5" borderId="1" xfId="0" applyNumberFormat="1" applyFont="1" applyFill="1" applyBorder="1" applyAlignment="1">
      <x:alignment wrapText="1"/>
    </x:xf>
    <x:xf numFmtId="201" fontId="6" fillId="5" borderId="1" xfId="0" applyNumberFormat="1" applyFont="1" applyFill="1" applyBorder="1" applyAlignment="1">
      <x:alignment wrapText="1"/>
    </x:xf>
    <x:xf numFmtId="202" fontId="6" fillId="5" borderId="1" xfId="0" applyNumberFormat="1" applyFont="1" applyFill="1" applyBorder="1" applyAlignment="1">
      <x:alignment wrapText="1"/>
    </x:xf>
    <x:xf numFmtId="203" fontId="6" fillId="5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200" fontId="4" fillId="6" borderId="1" xfId="0" applyNumberFormat="1" applyFont="1" applyFill="1" applyBorder="1" applyAlignment="1">
      <x:alignment wrapText="1"/>
    </x:xf>
    <x:xf numFmtId="201" fontId="4" fillId="6" borderId="1" xfId="0" applyNumberFormat="1" applyFont="1" applyFill="1" applyBorder="1" applyAlignment="1">
      <x:alignment wrapText="1"/>
    </x:xf>
    <x:xf numFmtId="202" fontId="4" fillId="6" borderId="1" xfId="0" applyNumberFormat="1" applyFont="1" applyFill="1" applyBorder="1" applyAlignment="1">
      <x:alignment wrapText="1"/>
    </x:xf>
    <x:xf numFmtId="204" fontId="4" fillId="6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wrapText="1"/>
    </x:xf>
    <x:xf numFmtId="203" fontId="4" fillId="6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1" xfId="0" applyNumberFormat="1" applyFont="1" applyFill="1" applyBorder="1"/>
    <x:xf numFmtId="0" fontId="2" fillId="10" borderId="1" xfId="0" applyNumberFormat="1" applyFont="1" applyFill="1" applyBorder="1" applyAlignment="1">
      <x:alignment wrapText="1"/>
    </x:xf>
    <x:xf numFmtId="0" fontId="9" fillId="10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wrapText="1"/>
    </x:xf>
    <x:xf numFmtId="0" fontId="10" fillId="9" borderId="1" xfId="0" applyNumberFormat="1" applyFont="1" applyFill="1" applyBorder="1" applyAlignment="1">
      <x:alignment wrapText="1"/>
    </x:xf>
    <x:xf numFmtId="0" fontId="10" fillId="11" borderId="1" xfId="0" applyNumberFormat="1" applyFont="1" applyFill="1" applyBorder="1" applyAlignment="1">
      <x:alignment wrapText="1"/>
    </x:xf>
    <x:xf numFmtId="0" fontId="11" fillId="11" borderId="1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2" fillId="12" borderId="1" xfId="0" applyNumberFormat="1" applyFont="1" applyFill="1" applyBorder="1"/>
    <x:xf numFmtId="0" fontId="7" fillId="9" borderId="1" xfId="0" applyNumberFormat="1" applyFont="1" applyFill="1" applyBorder="1"/>
    <x:xf numFmtId="0" fontId="13" fillId="13" borderId="1" xfId="0" applyNumberFormat="1" applyFont="1" applyFill="1" applyBorder="1"/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2" fillId="14" borderId="0" xfId="0" applyNumberFormat="1" applyFont="1" applyFill="1" applyBorder="1"/>
    <x:xf numFmtId="0" fontId="3" fillId="14" borderId="0" xfId="0" applyNumberFormat="1" applyFont="1" applyFill="1" applyBorder="1"/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1" xfId="0" applyNumberFormat="1" applyFont="1" applyFill="1" applyBorder="1" applyAlignment="1">
      <x:alignment wrapText="1"/>
    </x:xf>
    <x:xf numFmtId="202" fontId="4" fillId="0" borderId="1" xfId="0" applyNumberFormat="1" applyFont="1" applyFill="1" applyBorder="1" applyAlignment="1">
      <x:alignment wrapText="1"/>
    </x:xf>
    <x:xf numFmtId="202" fontId="4" fillId="17" borderId="1" xfId="0" applyNumberFormat="1" applyFont="1" applyFill="1" applyBorder="1" applyAlignment="1">
      <x:alignment wrapText="1"/>
    </x:xf>
    <x:xf numFmtId="0" fontId="4" fillId="17" borderId="1" xfId="0" applyNumberFormat="1" applyFont="1" applyFill="1" applyBorder="1" applyAlignment="1">
      <x:alignment wrapText="1"/>
    </x:xf>
    <x:xf numFmtId="202" fontId="12" fillId="17" borderId="1" xfId="0" applyNumberFormat="1" applyFont="1" applyFill="1" applyBorder="1" applyAlignment="1">
      <x:alignment wrapText="1"/>
    </x:xf>
    <x:xf numFmtId="0" fontId="12" fillId="17" borderId="1" xfId="0" applyNumberFormat="1" applyFont="1" applyFill="1" applyBorder="1" applyAlignment="1">
      <x:alignment wrapText="1"/>
    </x:xf>
    <x:xf numFmtId="202" fontId="9" fillId="17" borderId="1" xfId="0" applyNumberFormat="1" applyFont="1" applyFill="1" applyBorder="1" applyAlignment="1">
      <x:alignment wrapText="1"/>
    </x:xf>
    <x:xf numFmtId="0" fontId="9" fillId="17" borderId="1" xfId="0" applyNumberFormat="1" applyFont="1" applyFill="1" applyBorder="1" applyAlignment="1">
      <x:alignment wrapText="1"/>
    </x:xf>
    <x:xf numFmtId="202" fontId="4" fillId="18" borderId="1" xfId="0" applyNumberFormat="1" applyFont="1" applyFill="1" applyBorder="1" applyAlignment="1">
      <x:alignment wrapText="1"/>
    </x:xf>
    <x:xf numFmtId="0" fontId="4" fillId="18" borderId="1" xfId="0" applyNumberFormat="1" applyFont="1" applyFill="1" applyBorder="1" applyAlignment="1">
      <x:alignment wrapText="1"/>
    </x:xf>
    <x:xf numFmtId="0" fontId="4" fillId="15" borderId="1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2" fillId="19" borderId="0" xfId="0" applyNumberFormat="1" applyFont="1" applyFill="1" applyBorder="1"/>
    <x:xf numFmtId="0" fontId="3" fillId="19" borderId="0" xfId="0" applyNumberFormat="1" applyFont="1" applyFill="1" applyBorder="1"/>
    <x:xf numFmtId="0" fontId="0" fillId="20" borderId="0" xfId="0" applyNumberFormat="1" applyFont="1" applyFill="1" applyBorder="1"/>
    <x:xf numFmtId="0" fontId="0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1" xfId="0" applyNumberFormat="1" applyFont="1" applyFill="1" applyBorder="1" applyAlignment="1">
      <x:alignment wrapText="1"/>
    </x:xf>
    <x:xf numFmtId="0" fontId="0" fillId="22" borderId="1" xfId="0" applyNumberFormat="1" applyFont="1" applyFill="1" applyBorder="1" applyAlignment="1">
      <x:alignment wrapText="1"/>
    </x:xf>
    <x:xf numFmtId="0" fontId="12" fillId="22" borderId="1" xfId="0" applyNumberFormat="1" applyFont="1" applyFill="1" applyBorder="1" applyAlignment="1">
      <x:alignment wrapText="1"/>
    </x:xf>
    <x:xf numFmtId="0" fontId="9" fillId="22" borderId="1" xfId="0" applyNumberFormat="1" applyFont="1" applyFill="1" applyBorder="1" applyAlignment="1">
      <x:alignment wrapText="1"/>
    </x:xf>
    <x:xf numFmtId="0" fontId="0" fillId="23" borderId="1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2" fillId="24" borderId="0" xfId="0" applyNumberFormat="1" applyFont="1" applyFill="1" applyBorder="1"/>
    <x:xf numFmtId="0" fontId="3" fillId="24" borderId="0" xfId="0" applyNumberFormat="1" applyFont="1" applyFill="1" applyBorder="1"/>
    <x:xf numFmtId="0" fontId="0" fillId="25" borderId="0" xfId="0" applyNumberFormat="1" applyFont="1" applyFill="1" applyBorder="1"/>
    <x:xf numFmtId="0" fontId="0" fillId="25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1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0" xfId="0" applyNumberFormat="1" applyFont="1" applyFill="1" applyBorder="1" applyAlignment="1">
      <x:alignment wrapText="1"/>
    </x:xf>
    <x:xf numFmtId="0" fontId="2" fillId="26" borderId="1" xfId="0" applyNumberFormat="1" applyFont="1" applyFill="1" applyBorder="1" applyAlignment="1">
      <x:alignment wrapText="1"/>
    </x:xf>
    <x:xf numFmtId="0" fontId="0" fillId="27" borderId="1" xfId="0" applyNumberFormat="1" applyFont="1" applyFill="1" applyBorder="1" applyAlignment="1">
      <x:alignment wrapText="1"/>
    </x:xf>
    <x:xf numFmtId="0" fontId="12" fillId="27" borderId="1" xfId="0" applyNumberFormat="1" applyFont="1" applyFill="1" applyBorder="1" applyAlignment="1">
      <x:alignment wrapText="1"/>
    </x:xf>
    <x:xf numFmtId="0" fontId="9" fillId="27" borderId="1" xfId="0" applyNumberFormat="1" applyFont="1" applyFill="1" applyBorder="1" applyAlignment="1">
      <x:alignment wrapText="1"/>
    </x:xf>
    <x:xf numFmtId="0" fontId="0" fillId="28" borderId="1" xfId="0" applyNumberFormat="1" applyFont="1" applyFill="1" applyBorder="1" applyAlignment="1">
      <x:alignment wrapText="1"/>
    </x:xf>
  </x:cellXfs>
  <x:cellStyles count="1">
    <x:cellStyle name="Normal" xfId="0"/>
  </x:cellStyles>
  <x:dxfs count="37">
    <x:dxf>
      <x:font>
        <x:b/>
        <x:color rgb="FF8A2D2D"/>
      </x:font>
    </x:dxf>
    <x:dxf>
      <x:font>
        <x:b/>
        <x:color rgb="FF1F6B4E"/>
      </x:font>
    </x:dxf>
    <x:dxf>
      <x:font>
        <x:b/>
        <x:color rgb="FF8A2D2D"/>
      </x:font>
    </x:dxf>
    <x:dxf>
      <x:font>
        <x:b/>
        <x:color rgb="FF8A2D2D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7A4A00"/>
      </x:font>
    </x:dxf>
    <x:dxf>
      <x:font>
        <x:b/>
        <x:color rgb="FF1F6B4E"/>
      </x:font>
    </x:dxf>
    <x:dxf>
      <x:font>
        <x:b/>
        <x:color rgb="FF1F6B4E"/>
      </x:font>
    </x:dxf>
    <x:dxf>
      <x:font>
        <x:b/>
        <x:color rgb="FF8A2D2D"/>
      </x:font>
    </x:dxf>
    <x:dxf>
      <x:font>
        <x:b/>
        <x:color rgb="FF8A2D2D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7A4A00"/>
      </x:font>
    </x:dxf>
    <x:dxf>
      <x:font>
        <x:b/>
        <x:color rgb="FF1F6B4E"/>
      </x:font>
    </x:dxf>
    <x:dxf>
      <x:font>
        <x:b/>
        <x:color rgb="FF1F6B4E"/>
      </x:font>
    </x:dxf>
    <x:dxf>
      <x:font>
        <x:b/>
        <x:color rgb="FF8A2D2D"/>
      </x:font>
    </x:dxf>
    <x:dxf>
      <x:font>
        <x:b/>
        <x:color rgb="FF8A2D2D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7A4A00"/>
      </x:font>
    </x:dxf>
    <x:dxf>
      <x:font>
        <x:b/>
        <x:color rgb="FF1F6B4E"/>
      </x:font>
    </x:dxf>
    <x:dxf>
      <x:font>
        <x:b/>
        <x:color rgb="FF1F6B4E"/>
      </x:font>
    </x:dxf>
    <x:dxf>
      <x:font>
        <x:b/>
        <x:color rgb="FF8A2D2D"/>
      </x:font>
    </x:dxf>
    <x:dxf>
      <x:font>
        <x:b/>
        <x:color rgb="FF8A2D2D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7A4A00"/>
      </x:font>
    </x:dxf>
    <x:dxf>
      <x:font>
        <x:b/>
        <x:color rgb="FF1F6B4E"/>
      </x:font>
    </x:dxf>
    <x:dxf>
      <x:font>
        <x:b/>
        <x:color rgb="FF1F6B4E"/>
      </x:font>
    </x:dxf>
    <x:dxf>
      <x:font>
        <x:b/>
        <x:color rgb="FF8A2D2D"/>
      </x:font>
    </x:dxf>
    <x:dxf>
      <x:font>
        <x:b/>
        <x:color rgb="FF8A2D2D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7A4A00"/>
      </x:font>
    </x:dxf>
    <x:dxf>
      <x:font>
        <x:b/>
        <x:color rgb="FF1F6B4E"/>
      </x:font>
    </x:dxf>
    <x:dxf>
      <x:font>
        <x:b/>
        <x:color rgb="FF1F6B4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b33e21bd034f8b" /><Relationship Type="http://schemas.openxmlformats.org/officeDocument/2006/relationships/theme" Target="/xl/theme/theme1.xml" Id="R7d3b7b56e1ad44fe" /><Relationship Type="http://schemas.openxmlformats.org/officeDocument/2006/relationships/sharedStrings" Target="/xl/sharedStrings.xml" Id="R9274f523e8a74e17" /><Relationship Type="http://schemas.openxmlformats.org/officeDocument/2006/relationships/worksheet" Target="/xl/worksheets/sheet1.xml" Id="R1424330e44384291" /><Relationship Type="http://schemas.openxmlformats.org/officeDocument/2006/relationships/worksheet" Target="/xl/worksheets/sheet2.xml" Id="R1b44c52f794f46aa" /><Relationship Type="http://schemas.openxmlformats.org/officeDocument/2006/relationships/worksheet" Target="/xl/worksheets/sheet3.xml" Id="R8d30edf78e214770" /><Relationship Type="http://schemas.openxmlformats.org/officeDocument/2006/relationships/worksheet" Target="/xl/worksheets/sheet4.xml" Id="Ra59db0d994fa4644" /><Relationship Type="http://schemas.openxmlformats.org/officeDocument/2006/relationships/worksheet" Target="/xl/worksheets/sheet5.xml" Id="R67085cb2bef94ba3" /><Relationship Type="http://schemas.openxmlformats.org/officeDocument/2006/relationships/worksheet" Target="/xl/worksheets/sheet6.xml" Id="Rd982a010ea034dc2" /><Relationship Type="http://schemas.openxmlformats.org/officeDocument/2006/relationships/worksheet" Target="/xl/worksheets/sheet7.xml" Id="R673966d7962e4ede" /><Relationship Type="http://schemas.openxmlformats.org/officeDocument/2006/relationships/worksheet" Target="/xl/worksheets/sheet8.xml" Id="R788e474affa74d1b" /><Relationship Type="http://schemas.openxmlformats.org/officeDocument/2006/relationships/worksheet" Target="/xl/worksheets/sheet9.xml" Id="R4e7c217a6c1646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69c9ba3b444e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Дельта результата при росте закупки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v>Дельта к базе</c:v>
          </c:tx>
          <c:marker>
            <c:symbol val="none"/>
          </c:marker>
          <c:dLbls/>
          <c:cat>
            <c:strRef>
              <c:f>'03 Сценарии'!$A$13:$A$18</c:f>
              <c:strCache>
                <c:ptCount val="0"/>
              </c:strCache>
            </c:strRef>
          </c:cat>
          <c:val>
            <c:numRef>
              <c:f>'03 Сценарии'!$B$13:$B$18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69c9ba3b444e5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078012f8bd54c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20" hidden="0" customWidth="1"/>
    <x:col min="4" max="4" width="18" hidden="0" customWidth="1"/>
    <x:col min="5" max="5" width="48" hidden="0" customWidth="1"/>
    <x:col min="6" max="6" width="18" hidden="0" customWidth="1"/>
  </x:cols>
  <x:sheetData>
    <x:row r="1" ht="18" hidden="0" customHeight="1">
      <x:c r="A1" s="5" t="str">
        <x:v>УМ решатор: скидка и отсрочка клиента</x:v>
      </x:c>
      <x:c r="B1" s="5" t="str">
        <x:v>УМ решатор: скидка и отсрочка клиента</x:v>
      </x:c>
      <x:c r="C1" s="5" t="str">
        <x:v>УМ решатор: скидка и отсрочка клиента</x:v>
      </x:c>
      <x:c r="D1" s="5" t="str">
        <x:v>УМ решатор: скидка и отсрочка клиента</x:v>
      </x:c>
      <x:c r="E1" s="5" t="str">
        <x:v>УМ решатор: скидка и отсрочка клиента</x:v>
      </x:c>
      <x:c r="F1" s="5" t="str">
        <x:v>УМ решатор: скидка и отсрочка клиента</x:v>
      </x:c>
    </x:row>
    <x:row r="2" ht="15" hidden="0" customHeight="1">
      <x:c r="A2" s="9" t="str">
        <x:v>Меняйте желтые ячейки. Решатор переводит скидку и дополнительную отсрочку в требуемый рост закупки, проверяет ограничения и формирует ответ клиенту.</x:v>
      </x:c>
      <x:c r="B2" s="9" t="str">
        <x:v>Меняйте желтые ячейки. Решатор переводит скидку и дополнительную отсрочку в требуемый рост закупки, проверяет ограничения и формирует ответ клиенту.</x:v>
      </x:c>
      <x:c r="C2" s="9" t="str">
        <x:v>Меняйте желтые ячейки. Решатор переводит скидку и дополнительную отсрочку в требуемый рост закупки, проверяет ограничения и формирует ответ клиенту.</x:v>
      </x:c>
      <x:c r="D2" s="9" t="str">
        <x:v>Меняйте желтые ячейки. Решатор переводит скидку и дополнительную отсрочку в требуемый рост закупки, проверяет ограничения и формирует ответ клиенту.</x:v>
      </x:c>
      <x:c r="E2" s="9" t="str">
        <x:v>Меняйте желтые ячейки. Решатор переводит скидку и дополнительную отсрочку в требуемый рост закупки, проверяет ограничения и формирует ответ клиенту.</x:v>
      </x:c>
      <x:c r="F2" s="9" t="str">
        <x:v>Меняйте желтые ячейки. Решатор переводит скидку и дополнительную отсрочку в требуемый рост закупки, проверяет ограничения и формирует ответ клиенту.</x:v>
      </x:c>
    </x:row>
    <x:row r="3"/>
    <x:row r="4" ht="15" hidden="0" customHeight="1">
      <x:c r="A4" s="14" t="str">
        <x:v>Блок</x:v>
      </x:c>
      <x:c r="B4" s="14" t="str">
        <x:v>Показатель</x:v>
      </x:c>
      <x:c r="C4" s="14" t="str">
        <x:v>Значение</x:v>
      </x:c>
      <x:c r="D4" s="14" t="str">
        <x:v>Ед.</x:v>
      </x:c>
      <x:c r="E4" s="14" t="str">
        <x:v>Комментарий</x:v>
      </x:c>
      <x:c r="F4" s="14" t="str">
        <x:v>Статус</x:v>
      </x:c>
    </x:row>
    <x:row r="5" ht="26.399999618530273" hidden="0" customHeight="1">
      <x:c r="A5" s="17" t="str">
        <x:v>Факт</x:v>
      </x:c>
      <x:c r="B5" s="17" t="str">
        <x:v>Выручка текущая в месяц без НДС</x:v>
      </x:c>
      <x:c r="C5" s="20" t="n">
        <x:v>20000000</x:v>
      </x:c>
      <x:c r="D5" s="17" t="str">
        <x:v>руб.</x:v>
      </x:c>
      <x:c r="E5" s="17" t="str">
        <x:v>Текущий месячный оборот по клиенту без НДС.</x:v>
      </x:c>
      <x:c r="F5" s="17" t="str">
        <x:v>Ввод</x:v>
      </x:c>
    </x:row>
    <x:row r="6" ht="26.399999618530273" hidden="0" customHeight="1">
      <x:c r="A6" s="17" t="str">
        <x:v>Факт</x:v>
      </x:c>
      <x:c r="B6" s="17" t="str">
        <x:v>Себестоимость текущая</x:v>
      </x:c>
      <x:c r="C6" s="20" t="n">
        <x:v>14000000</x:v>
      </x:c>
      <x:c r="D6" s="17" t="str">
        <x:v>руб.</x:v>
      </x:c>
      <x:c r="E6" s="17" t="str">
        <x:v>Себестоимость проданного объема без НДС.</x:v>
      </x:c>
      <x:c r="F6" s="17" t="str">
        <x:v>Ввод</x:v>
      </x:c>
    </x:row>
    <x:row r="7" ht="26.399999618530273" hidden="0" customHeight="1">
      <x:c r="A7" s="17" t="str">
        <x:v>Запрос клиента</x:v>
      </x:c>
      <x:c r="B7" s="17" t="str">
        <x:v>Дополнительная скидка</x:v>
      </x:c>
      <x:c r="C7" s="21" t="n">
        <x:v>0.1</x:v>
      </x:c>
      <x:c r="D7" s="17" t="str">
        <x:v>%</x:v>
      </x:c>
      <x:c r="E7" s="17" t="str">
        <x:v>Клиент просит дополнительное снижение цены.</x:v>
      </x:c>
      <x:c r="F7" s="17" t="str">
        <x:v>Ввод</x:v>
      </x:c>
    </x:row>
    <x:row r="8" ht="15" hidden="0" customHeight="1">
      <x:c r="A8" s="17" t="str">
        <x:v>Факт</x:v>
      </x:c>
      <x:c r="B8" s="17" t="str">
        <x:v>Текущая отсрочка</x:v>
      </x:c>
      <x:c r="C8" s="22" t="n">
        <x:v>100</x:v>
      </x:c>
      <x:c r="D8" s="17" t="str">
        <x:v>дней</x:v>
      </x:c>
      <x:c r="E8" s="17" t="str">
        <x:v>Действующая отсрочка платежа.</x:v>
      </x:c>
      <x:c r="F8" s="17" t="str">
        <x:v>Ввод</x:v>
      </x:c>
    </x:row>
    <x:row r="9" ht="15" hidden="0" customHeight="1">
      <x:c r="A9" s="17" t="str">
        <x:v>Запрос клиента</x:v>
      </x:c>
      <x:c r="B9" s="17" t="str">
        <x:v>Новая отсрочка</x:v>
      </x:c>
      <x:c r="C9" s="22" t="n">
        <x:v>150</x:v>
      </x:c>
      <x:c r="D9" s="17" t="str">
        <x:v>дней</x:v>
      </x:c>
      <x:c r="E9" s="17" t="str">
        <x:v>100 дней + 50 дополнительных дней.</x:v>
      </x:c>
      <x:c r="F9" s="17" t="str">
        <x:v>Ввод</x:v>
      </x:c>
    </x:row>
    <x:row r="10" ht="15" hidden="0" customHeight="1">
      <x:c r="A10" s="17" t="str">
        <x:v>Факт</x:v>
      </x:c>
      <x:c r="B10" s="17" t="str">
        <x:v>Налоговый режим</x:v>
      </x:c>
      <x:c r="C10" s="19" t="str">
        <x:v>ОСНО</x:v>
      </x:c>
      <x:c r="D10" s="17" t="str">
        <x:v>режим</x:v>
      </x:c>
      <x:c r="E10" s="17" t="str">
        <x:v>При ОСНО НДС проверяется в денежном контуре.</x:v>
      </x:c>
      <x:c r="F10" s="17" t="str">
        <x:v>Ввод</x:v>
      </x:c>
    </x:row>
    <x:row r="11" ht="15" hidden="0" customHeight="1">
      <x:c r="A11" s="17" t="str">
        <x:v>Допущение</x:v>
      </x:c>
      <x:c r="B11" s="17" t="str">
        <x:v>Ставка НДС</x:v>
      </x:c>
      <x:c r="C11" s="21" t="n">
        <x:v>0.22</x:v>
      </x:c>
      <x:c r="D11" s="17" t="str">
        <x:v>%</x:v>
      </x:c>
      <x:c r="E11" s="17" t="str">
        <x:v>Действующая расчетная ставка НДС для ОСНО в модели.</x:v>
      </x:c>
      <x:c r="F11" s="17" t="str">
        <x:v>Ввод</x:v>
      </x:c>
    </x:row>
    <x:row r="12" ht="26.399999618530273" hidden="0" customHeight="1">
      <x:c r="A12" s="17" t="str">
        <x:v>Допущение</x:v>
      </x:c>
      <x:c r="B12" s="17" t="str">
        <x:v>Стоимость денег годовая</x:v>
      </x:c>
      <x:c r="C12" s="21" t="n">
        <x:v>0.2</x:v>
      </x:c>
      <x:c r="D12" s="17" t="str">
        <x:v>%</x:v>
      </x:c>
      <x:c r="E12" s="17" t="str">
        <x:v>Цена финансирования дополнительной отсрочки.</x:v>
      </x:c>
      <x:c r="F12" s="17" t="str">
        <x:v>Ввод</x:v>
      </x:c>
    </x:row>
    <x:row r="13" ht="26.399999618530273" hidden="0" customHeight="1">
      <x:c r="A13" s="17" t="str">
        <x:v>Правило УМ</x:v>
      </x:c>
      <x:c r="B13" s="17" t="str">
        <x:v>Запас прочности по прибыли</x:v>
      </x:c>
      <x:c r="C13" s="21" t="n">
        <x:v>0</x:v>
      </x:c>
      <x:c r="D13" s="17" t="str">
        <x:v>%</x:v>
      </x:c>
      <x:c r="E13" s="17" t="str">
        <x:v>0% означает сохранить текущий результат; можно поставить 5-10%.</x:v>
      </x:c>
      <x:c r="F13" s="17" t="str">
        <x:v>Ввод</x:v>
      </x:c>
    </x:row>
    <x:row r="14" ht="26.399999618530273" hidden="0" customHeight="1">
      <x:c r="A14" s="17" t="str">
        <x:v>Предложение</x:v>
      </x:c>
      <x:c r="B14" s="17" t="str">
        <x:v>Предлагаемый рост закупки</x:v>
      </x:c>
      <x:c r="C14" s="21" t="n">
        <x:v>0.8</x:v>
      </x:c>
      <x:c r="D14" s="17" t="str">
        <x:v>%</x:v>
      </x:c>
      <x:c r="E14" s="17" t="str">
        <x:v>Рост объема, который менеджер готов требовать от клиента.</x:v>
      </x:c>
      <x:c r="F14" s="17" t="str">
        <x:v>Ввод</x:v>
      </x:c>
    </x:row>
    <x:row r="15" ht="39.599998474121094" hidden="0" customHeight="1">
      <x:c r="A15" s="17" t="str">
        <x:v>Ограничение</x:v>
      </x:c>
      <x:c r="B15" s="17" t="str">
        <x:v>Лимит финансирования отсрочки</x:v>
      </x:c>
      <x:c r="C15" s="20" t="n">
        <x:v>6000000</x:v>
      </x:c>
      <x:c r="D15" s="17" t="str">
        <x:v>руб.</x:v>
      </x:c>
      <x:c r="E15" s="17" t="str">
        <x:v>Максимальная дополнительная потребность в деньгах.</x:v>
      </x:c>
      <x:c r="F15" s="17" t="str">
        <x:v>Ввод</x:v>
      </x:c>
    </x:row>
    <x:row r="16" ht="26.399999618530273" hidden="0" customHeight="1">
      <x:c r="A16" s="17" t="str">
        <x:v>Ограничение</x:v>
      </x:c>
      <x:c r="B16" s="17" t="str">
        <x:v>Операционный лимит роста</x:v>
      </x:c>
      <x:c r="C16" s="21" t="n">
        <x:v>1</x:v>
      </x:c>
      <x:c r="D16" s="17" t="str">
        <x:v>%</x:v>
      </x:c>
      <x:c r="E16" s="17" t="str">
        <x:v>Максимальный рост объема, который компания способна обслужить.</x:v>
      </x:c>
      <x:c r="F16" s="17" t="str">
        <x:v>Ввод</x:v>
      </x:c>
    </x:row>
    <x:row r="17" ht="26.399999618530273" hidden="0" customHeight="1">
      <x:c r="A17" s="17" t="str">
        <x:v>Условие</x:v>
      </x:c>
      <x:c r="B17" s="17" t="str">
        <x:v>Объем закреплен договором</x:v>
      </x:c>
      <x:c r="C17" s="19" t="str">
        <x:v>Да</x:v>
      </x:c>
      <x:c r="D17" s="17" t="str">
        <x:v>Да/Нет</x:v>
      </x:c>
      <x:c r="E17" s="17" t="str">
        <x:v>Есть ли обязательство клиента по объему.</x:v>
      </x:c>
      <x:c r="F17" s="17" t="str">
        <x:v>Ввод</x:v>
      </x:c>
    </x:row>
    <x:row r="18" ht="26.399999618530273" hidden="0" customHeight="1">
      <x:c r="A18" s="17" t="str">
        <x:v>Условие</x:v>
      </x:c>
      <x:c r="B18" s="17" t="str">
        <x:v>Есть право пересмотра условий</x:v>
      </x:c>
      <x:c r="C18" s="19" t="str">
        <x:v>Да</x:v>
      </x:c>
      <x:c r="D18" s="17" t="str">
        <x:v>Да/Нет</x:v>
      </x:c>
      <x:c r="E18" s="17" t="str">
        <x:v>Право остановить условия при недоборе объема.</x:v>
      </x:c>
      <x:c r="F18" s="17" t="str">
        <x:v>Ввод</x:v>
      </x:c>
    </x:row>
    <x:row r="19" ht="26.399999618530273" hidden="0" customHeight="1">
      <x:c r="A19" s="17" t="str">
        <x:v>Контроль</x:v>
      </x:c>
      <x:c r="B19" s="17" t="str">
        <x:v>Дата первого контроля</x:v>
      </x:c>
      <x:c r="C19" s="23" t="n">
        <x:v>46235</x:v>
      </x:c>
      <x:c r="D19" s="17" t="str">
        <x:v>дата</x:v>
      </x:c>
      <x:c r="E19" s="17" t="str">
        <x:v>Когда проверяется факт объема и денег.</x:v>
      </x:c>
      <x:c r="F19" s="17" t="str">
        <x:v>Ввод</x:v>
      </x:c>
    </x:row>
    <x:row r="20" ht="26.399999618530273" hidden="0" customHeight="1">
      <x:c r="A20" s="17" t="str">
        <x:v>Ответственный</x:v>
      </x:c>
      <x:c r="B20" s="17" t="str">
        <x:v>Коммерческий директор</x:v>
      </x:c>
      <x:c r="C20" s="19" t="str">
        <x:v>Коммерческий директор</x:v>
      </x:c>
      <x:c r="D20" s="17" t="str">
        <x:v>роль</x:v>
      </x:c>
      <x:c r="E20" s="17" t="str">
        <x:v>Отвечает за договоренность с клиентом.</x:v>
      </x:c>
      <x:c r="F20" s="17" t="str">
        <x:v>Ввод</x:v>
      </x:c>
    </x:row>
    <x:row r="21" ht="26.399999618530273" hidden="0" customHeight="1">
      <x:c r="A21" s="17" t="str">
        <x:v>Ответственный</x:v>
      </x:c>
      <x:c r="B21" s="17" t="str">
        <x:v>Финансовый директор / CFO</x:v>
      </x:c>
      <x:c r="C21" s="19" t="str">
        <x:v>Финансовый директор</x:v>
      </x:c>
      <x:c r="D21" s="17" t="str">
        <x:v>роль</x:v>
      </x:c>
      <x:c r="E21" s="17" t="str">
        <x:v>Отвечает за деньги, налоги и лимиты.</x:v>
      </x:c>
      <x:c r="F21" s="17" t="str">
        <x:v>Ввод</x:v>
      </x:c>
    </x:row>
  </x:sheetData>
  <x:mergeCells>
    <x:mergeCell ref="A1:F1"/>
    <x:mergeCell ref="A2:F2"/>
  </x:mergeCells>
  <x:dataValidations count="2">
    <x:dataValidation type="list" sqref="C17:C18">
      <x:formula1>"Да,Нет"</x:formula1>
    </x:dataValidation>
    <x:dataValidation type="list" sqref="C10">
      <x:formula1>"ОСНО,УСН"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20" hidden="0" customWidth="1"/>
    <x:col min="4" max="4" width="18" hidden="0" customWidth="1"/>
    <x:col min="5" max="5" width="50" hidden="0" customWidth="1"/>
  </x:cols>
  <x:sheetData>
    <x:row r="1" ht="18" hidden="0" customHeight="1">
      <x:c r="A1" s="5" t="str">
        <x:v>02 Расчет: перевод запроса клиента в требуемый рост закупки</x:v>
      </x:c>
      <x:c r="B1" s="5" t="str">
        <x:v>02 Расчет: перевод запроса клиента в требуемый рост закупки</x:v>
      </x:c>
      <x:c r="C1" s="5" t="str">
        <x:v>02 Расчет: перевод запроса клиента в требуемый рост закупки</x:v>
      </x:c>
      <x:c r="D1" s="5" t="str">
        <x:v>02 Расчет: перевод запроса клиента в требуемый рост закупки</x:v>
      </x:c>
      <x:c r="E1" s="5" t="str">
        <x:v>02 Расчет: перевод запроса клиента в требуемый рост закупки</x:v>
      </x:c>
    </x:row>
    <x:row r="2" ht="15" hidden="0" customHeight="1">
      <x:c r="A2" s="9" t="str">
        <x:v>Логика УМ: клиент использовал два инструмента — цену и отсрочку. Ответ компании переводится в третий инструмент — обязательный рост закупки.</x:v>
      </x:c>
      <x:c r="B2" s="9" t="str">
        <x:v>Логика УМ: клиент использовал два инструмента — цену и отсрочку. Ответ компании переводится в третий инструмент — обязательный рост закупки.</x:v>
      </x:c>
      <x:c r="C2" s="9" t="str">
        <x:v>Логика УМ: клиент использовал два инструмента — цену и отсрочку. Ответ компании переводится в третий инструмент — обязательный рост закупки.</x:v>
      </x:c>
      <x:c r="D2" s="9" t="str">
        <x:v>Логика УМ: клиент использовал два инструмента — цену и отсрочку. Ответ компании переводится в третий инструмент — обязательный рост закупки.</x:v>
      </x:c>
      <x:c r="E2" s="9" t="str">
        <x:v>Логика УМ: клиент использовал два инструмента — цену и отсрочку. Ответ компании переводится в третий инструмент — обязательный рост закупки.</x:v>
      </x:c>
    </x:row>
    <x:row r="3"/>
    <x:row r="4" ht="15" hidden="0" customHeight="1">
      <x:c r="A4" s="14" t="str">
        <x:v>Блок</x:v>
      </x:c>
      <x:c r="B4" s="14" t="str">
        <x:v>Показатель</x:v>
      </x:c>
      <x:c r="C4" s="14" t="str">
        <x:v>Значение</x:v>
      </x:c>
      <x:c r="D4" s="14" t="str">
        <x:v>Ед.</x:v>
      </x:c>
      <x:c r="E4" s="14" t="str">
        <x:v>Формула / смысл</x:v>
      </x:c>
    </x:row>
    <x:row r="5" ht="15" hidden="0" customHeight="1">
      <x:c r="A5" s="17" t="str">
        <x:v>База</x:v>
      </x:c>
      <x:c r="B5" s="17" t="str">
        <x:v>Выручка до решения без НДС</x:v>
      </x:c>
      <x:c r="C5" s="25" t="n">
        <x:f>'01 Ввод'!C5</x:f>
        <x:v>20000000</x:v>
      </x:c>
      <x:c r="D5" s="17" t="str">
        <x:v>руб.</x:v>
      </x:c>
      <x:c r="E5" s="17" t="str">
        <x:v>Берется с листа Ввод.</x:v>
      </x:c>
    </x:row>
    <x:row r="6" ht="15" hidden="0" customHeight="1">
      <x:c r="A6" s="17" t="str">
        <x:v>База</x:v>
      </x:c>
      <x:c r="B6" s="17" t="str">
        <x:v>Себестоимость до решения</x:v>
      </x:c>
      <x:c r="C6" s="25" t="n">
        <x:f>'01 Ввод'!C6</x:f>
        <x:v>14000000</x:v>
      </x:c>
      <x:c r="D6" s="17" t="str">
        <x:v>руб.</x:v>
      </x:c>
      <x:c r="E6" s="17" t="str">
        <x:v>Берется с листа Ввод.</x:v>
      </x:c>
    </x:row>
    <x:row r="7" ht="15" hidden="0" customHeight="1">
      <x:c r="A7" s="17" t="str">
        <x:v>База</x:v>
      </x:c>
      <x:c r="B7" s="17" t="str">
        <x:v>Валовая прибыль до решения</x:v>
      </x:c>
      <x:c r="C7" s="25" t="n">
        <x:f>C5-C6</x:f>
        <x:v>6000000</x:v>
      </x:c>
      <x:c r="D7" s="17" t="str">
        <x:v>руб.</x:v>
      </x:c>
      <x:c r="E7" s="17" t="str">
        <x:v>Выручка - себестоимость.</x:v>
      </x:c>
    </x:row>
    <x:row r="8" ht="15" hidden="0" customHeight="1">
      <x:c r="A8" s="17" t="str">
        <x:v>База</x:v>
      </x:c>
      <x:c r="B8" s="17" t="str">
        <x:v>Валовая рентабельность до решения</x:v>
      </x:c>
      <x:c r="C8" s="26" t="n">
        <x:f>IFERROR(C7/C5,0)</x:f>
        <x:v>0.3</x:v>
      </x:c>
      <x:c r="D8" s="17" t="str">
        <x:v>%</x:v>
      </x:c>
      <x:c r="E8" s="17" t="str">
        <x:v>Валовая прибыль / выручка.</x:v>
      </x:c>
    </x:row>
    <x:row r="9" ht="26.399999618530273" hidden="0" customHeight="1">
      <x:c r="A9" s="17" t="str">
        <x:v>Цена</x:v>
      </x:c>
      <x:c r="B9" s="17" t="str">
        <x:v>Выручка после скидки при прежнем объеме</x:v>
      </x:c>
      <x:c r="C9" s="25" t="n">
        <x:f>C5*(1-'01 Ввод'!C7)</x:f>
        <x:v>18000000</x:v>
      </x:c>
      <x:c r="D9" s="17" t="str">
        <x:v>руб.</x:v>
      </x:c>
      <x:c r="E9" s="17" t="str">
        <x:v>Выручка × (1 - скидка).</x:v>
      </x:c>
    </x:row>
    <x:row r="10" ht="26.399999618530273" hidden="0" customHeight="1">
      <x:c r="A10" s="17" t="str">
        <x:v>Цена</x:v>
      </x:c>
      <x:c r="B10" s="17" t="str">
        <x:v>Валовая прибыль после скидки при прежнем объеме</x:v>
      </x:c>
      <x:c r="C10" s="25" t="n">
        <x:f>C9-C6</x:f>
        <x:v>4000000</x:v>
      </x:c>
      <x:c r="D10" s="17" t="str">
        <x:v>руб.</x:v>
      </x:c>
      <x:c r="E10" s="17" t="str">
        <x:v>Выручка после скидки - себестоимость.</x:v>
      </x:c>
    </x:row>
    <x:row r="11" ht="26.399999618530273" hidden="0" customHeight="1">
      <x:c r="A11" s="17" t="str">
        <x:v>Цена</x:v>
      </x:c>
      <x:c r="B11" s="17" t="str">
        <x:v>Дельта прибыли от скидки без роста объема</x:v>
      </x:c>
      <x:c r="C11" s="25" t="n">
        <x:f>C10-C7</x:f>
        <x:v>-2000000</x:v>
      </x:c>
      <x:c r="D11" s="17" t="str">
        <x:v>руб.</x:v>
      </x:c>
      <x:c r="E11" s="17" t="str">
        <x:v>Насколько падает прибыль только от цены.</x:v>
      </x:c>
    </x:row>
    <x:row r="12" ht="15" hidden="0" customHeight="1">
      <x:c r="A12" s="17" t="str">
        <x:v>Отсрочка</x:v>
      </x:c>
      <x:c r="B12" s="17" t="str">
        <x:v>Дополнительные дни отсрочки</x:v>
      </x:c>
      <x:c r="C12" s="27" t="n">
        <x:f>MAX(0,'01 Ввод'!C9-'01 Ввод'!C8)</x:f>
        <x:v>50</x:v>
      </x:c>
      <x:c r="D12" s="17" t="str">
        <x:v>дней</x:v>
      </x:c>
      <x:c r="E12" s="17" t="str">
        <x:v>Новая отсрочка - текущая отсрочка.</x:v>
      </x:c>
    </x:row>
    <x:row r="13" ht="26.399999618530273" hidden="0" customHeight="1">
      <x:c r="A13" s="17" t="str">
        <x:v>Отсрочка</x:v>
      </x:c>
      <x:c r="B13" s="17" t="str">
        <x:v>Потребность в финансировании на 1x объема</x:v>
      </x:c>
      <x:c r="C13" s="25" t="n">
        <x:f>C9*(1+'01 Ввод'!C11)*C12/365</x:f>
        <x:v>3008219.178082192</x:v>
      </x:c>
      <x:c r="D13" s="17" t="str">
        <x:v>руб.</x:v>
      </x:c>
      <x:c r="E13" s="17" t="str">
        <x:v>Выручка после скидки с НДС × доп. дни / 365.</x:v>
      </x:c>
    </x:row>
    <x:row r="14" ht="26.399999618530273" hidden="0" customHeight="1">
      <x:c r="A14" s="17" t="str">
        <x:v>Отсрочка</x:v>
      </x:c>
      <x:c r="B14" s="17" t="str">
        <x:v>Стоимость дополнительной отсрочки на 1x объема</x:v>
      </x:c>
      <x:c r="C14" s="25" t="n">
        <x:f>C13*'01 Ввод'!C12</x:f>
        <x:v>601643.8356164384</x:v>
      </x:c>
      <x:c r="D14" s="17" t="str">
        <x:v>руб.</x:v>
      </x:c>
      <x:c r="E14" s="17" t="str">
        <x:v>Потребность × стоимость денег.</x:v>
      </x:c>
    </x:row>
    <x:row r="15" ht="26.399999618530273" hidden="0" customHeight="1">
      <x:c r="A15" s="17" t="str">
        <x:v>Итог</x:v>
      </x:c>
      <x:c r="B15" s="17" t="str">
        <x:v>Чистый вклад 1x объема после скидки и отсрочки</x:v>
      </x:c>
      <x:c r="C15" s="25" t="n">
        <x:f>C10-C14</x:f>
        <x:v>3398356.1643835614</x:v>
      </x:c>
      <x:c r="D15" s="17" t="str">
        <x:v>руб.</x:v>
      </x:c>
      <x:c r="E15" s="17" t="str">
        <x:v>Валовая прибыль после скидки - стоимость отсрочки.</x:v>
      </x:c>
    </x:row>
    <x:row r="16" ht="15" hidden="0" customHeight="1">
      <x:c r="A16" s="17" t="str">
        <x:v>Порог</x:v>
      </x:c>
      <x:c r="B16" s="17" t="str">
        <x:v>Целевой результат с запасом прочности</x:v>
      </x:c>
      <x:c r="C16" s="25" t="n">
        <x:f>C7*(1+'01 Ввод'!C13)</x:f>
        <x:v>6000000</x:v>
      </x:c>
      <x:c r="D16" s="17" t="str">
        <x:v>руб.</x:v>
      </x:c>
      <x:c r="E16" s="17" t="str">
        <x:v>Текущая прибыль × (1 + запас).</x:v>
      </x:c>
    </x:row>
    <x:row r="17" ht="15" hidden="0" customHeight="1">
      <x:c r="A17" s="17" t="str">
        <x:v>Порог</x:v>
      </x:c>
      <x:c r="B17" s="17" t="str">
        <x:v>Минимальный коэффициент закупки</x:v>
      </x:c>
      <x:c r="C17" s="28" t="n">
        <x:f>IF(C15&lt;=0,999,C16/C15)</x:f>
        <x:v>1.7655594969364723</x:v>
      </x:c>
      <x:c r="D17" s="17" t="str">
        <x:v>x</x:v>
      </x:c>
      <x:c r="E17" s="17" t="str">
        <x:v>Сколько раз к текущему объему нужно купить.</x:v>
      </x:c>
    </x:row>
    <x:row r="18" ht="15" hidden="0" customHeight="1">
      <x:c r="A18" s="17" t="str">
        <x:v>Порог</x:v>
      </x:c>
      <x:c r="B18" s="17" t="str">
        <x:v>Минимальный рост закупки</x:v>
      </x:c>
      <x:c r="C18" s="26" t="n">
        <x:f>MAX(0,C17-1)</x:f>
        <x:v>0.7655594969364723</x:v>
      </x:c>
      <x:c r="D18" s="17" t="str">
        <x:v>%</x:v>
      </x:c>
      <x:c r="E18" s="17" t="str">
        <x:v>Коэффициент - 1.</x:v>
      </x:c>
    </x:row>
    <x:row r="19" ht="15" hidden="0" customHeight="1">
      <x:c r="A19" s="17" t="str">
        <x:v>Порог</x:v>
      </x:c>
      <x:c r="B19" s="17" t="str">
        <x:v>Управленческий порог роста закупки</x:v>
      </x:c>
      <x:c r="C19" s="26" t="n">
        <x:f>CEILING(C18,0.05)</x:f>
        <x:v>0.8</x:v>
      </x:c>
      <x:c r="D19" s="17" t="str">
        <x:v>%</x:v>
      </x:c>
      <x:c r="E19" s="17" t="str">
        <x:v>Округление вверх до 5 п.п. для переговоров.</x:v>
      </x:c>
    </x:row>
    <x:row r="20" ht="15" hidden="0" customHeight="1">
      <x:c r="A20" s="17" t="str">
        <x:v>Предложение</x:v>
      </x:c>
      <x:c r="B20" s="17" t="str">
        <x:v>Предлагаемый рост закупки</x:v>
      </x:c>
      <x:c r="C20" s="26" t="n">
        <x:f>'01 Ввод'!C14</x:f>
        <x:v>0.8</x:v>
      </x:c>
      <x:c r="D20" s="17" t="str">
        <x:v>%</x:v>
      </x:c>
      <x:c r="E20" s="17" t="str">
        <x:v>Ввод менеджера.</x:v>
      </x:c>
    </x:row>
    <x:row r="21" ht="26.399999618530273" hidden="0" customHeight="1">
      <x:c r="A21" s="17" t="str">
        <x:v>Предложение</x:v>
      </x:c>
      <x:c r="B21" s="17" t="str">
        <x:v>Выручка после скидки и предложенного роста</x:v>
      </x:c>
      <x:c r="C21" s="25" t="n">
        <x:f>C9*(1+C20)</x:f>
        <x:v>32400000</x:v>
      </x:c>
      <x:c r="D21" s="17" t="str">
        <x:v>руб.</x:v>
      </x:c>
      <x:c r="E21" s="17" t="str">
        <x:v>Расчет результата предложения.</x:v>
      </x:c>
    </x:row>
    <x:row r="22" ht="26.399999618530273" hidden="0" customHeight="1">
      <x:c r="A22" s="17" t="str">
        <x:v>Предложение</x:v>
      </x:c>
      <x:c r="B22" s="17" t="str">
        <x:v>Себестоимость после предложенного роста</x:v>
      </x:c>
      <x:c r="C22" s="25" t="n">
        <x:f>C6*(1+C20)</x:f>
        <x:v>25200000</x:v>
      </x:c>
      <x:c r="D22" s="17" t="str">
        <x:v>руб.</x:v>
      </x:c>
      <x:c r="E22" s="17" t="str">
        <x:v>Себестоимость × коэффициент объема.</x:v>
      </x:c>
    </x:row>
    <x:row r="23" ht="26.399999618530273" hidden="0" customHeight="1">
      <x:c r="A23" s="17" t="str">
        <x:v>Предложение</x:v>
      </x:c>
      <x:c r="B23" s="17" t="str">
        <x:v>Стоимость отсрочки после предложенного роста</x:v>
      </x:c>
      <x:c r="C23" s="25" t="n">
        <x:f>C14*(1+C20)</x:f>
        <x:v>1082958.9041095893</x:v>
      </x:c>
      <x:c r="D23" s="17" t="str">
        <x:v>руб.</x:v>
      </x:c>
      <x:c r="E23" s="17" t="str">
        <x:v>Стоимость отсрочки × коэффициент объема.</x:v>
      </x:c>
    </x:row>
    <x:row r="24" ht="26.399999618530273" hidden="0" customHeight="1">
      <x:c r="A24" s="17" t="str">
        <x:v>Предложение</x:v>
      </x:c>
      <x:c r="B24" s="17" t="str">
        <x:v>Чистый результат после предложенного роста</x:v>
      </x:c>
      <x:c r="C24" s="25" t="n">
        <x:f>C21-C22-C23</x:f>
        <x:v>6117041.09589041</x:v>
      </x:c>
      <x:c r="D24" s="17" t="str">
        <x:v>руб.</x:v>
      </x:c>
      <x:c r="E24" s="17" t="str">
        <x:v>Прибыль после скидки и роста минус стоимость отсрочки.</x:v>
      </x:c>
    </x:row>
    <x:row r="25" ht="15" hidden="0" customHeight="1">
      <x:c r="A25" s="17" t="str">
        <x:v>Предложение</x:v>
      </x:c>
      <x:c r="B25" s="17" t="str">
        <x:v>Дельта к текущему результату</x:v>
      </x:c>
      <x:c r="C25" s="25" t="n">
        <x:f>C24-C7</x:f>
        <x:v>117041.09589041024</x:v>
      </x:c>
      <x:c r="D25" s="17" t="str">
        <x:v>руб.</x:v>
      </x:c>
      <x:c r="E25" s="17" t="str">
        <x:v>Результат после - текущая прибыль.</x:v>
      </x:c>
    </x:row>
    <x:row r="26" ht="26.399999618530273" hidden="0" customHeight="1">
      <x:c r="A26" s="17" t="str">
        <x:v>Деньги</x:v>
      </x:c>
      <x:c r="B26" s="17" t="str">
        <x:v>Потребность в финансировании после предложенного роста</x:v>
      </x:c>
      <x:c r="C26" s="25" t="n">
        <x:f>C13*(1+C20)</x:f>
        <x:v>5414794.520547945</x:v>
      </x:c>
      <x:c r="D26" s="17" t="str">
        <x:v>руб.</x:v>
      </x:c>
      <x:c r="E26" s="17" t="str">
        <x:v>Дополнительная потребность денег из-за отсрочки.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2" hidden="0" customWidth="1"/>
    <x:col min="4" max="4" width="22" hidden="0" customWidth="1"/>
    <x:col min="5" max="5" width="22" hidden="0" customWidth="1"/>
    <x:col min="6" max="6" width="42" hidden="0" customWidth="1"/>
  </x:cols>
  <x:sheetData>
    <x:row r="1" ht="18" hidden="0" customHeight="1">
      <x:c r="A1" s="5" t="str">
        <x:v>03 Сценарии: чувствительность результата к росту закупки</x:v>
      </x:c>
      <x:c r="B1" s="5" t="str">
        <x:v>03 Сценарии: чувствительность результата к росту закупки</x:v>
      </x:c>
      <x:c r="C1" s="5" t="str">
        <x:v>03 Сценарии: чувствительность результата к росту закупки</x:v>
      </x:c>
      <x:c r="D1" s="5" t="str">
        <x:v>03 Сценарии: чувствительность результата к росту закупки</x:v>
      </x:c>
      <x:c r="E1" s="5" t="str">
        <x:v>03 Сценарии: чувствительность результата к росту закупки</x:v>
      </x:c>
      <x:c r="F1" s="5" t="str">
        <x:v>03 Сценарии: чувствительность результата к росту закупки</x:v>
      </x:c>
    </x:row>
    <x:row r="2" ht="15" hidden="0" customHeight="1">
      <x:c r="A2" s="9" t="str">
        <x:v>Сценарии показывают, при каком росте закупки запрос сети становится допустимым, а при каком ухудшает результат компании.</x:v>
      </x:c>
      <x:c r="B2" s="9" t="str">
        <x:v>Сценарии показывают, при каком росте закупки запрос сети становится допустимым, а при каком ухудшает результат компании.</x:v>
      </x:c>
      <x:c r="C2" s="9" t="str">
        <x:v>Сценарии показывают, при каком росте закупки запрос сети становится допустимым, а при каком ухудшает результат компании.</x:v>
      </x:c>
      <x:c r="D2" s="9" t="str">
        <x:v>Сценарии показывают, при каком росте закупки запрос сети становится допустимым, а при каком ухудшает результат компании.</x:v>
      </x:c>
      <x:c r="E2" s="9" t="str">
        <x:v>Сценарии показывают, при каком росте закупки запрос сети становится допустимым, а при каком ухудшает результат компании.</x:v>
      </x:c>
      <x:c r="F2" s="9" t="str">
        <x:v>Сценарии показывают, при каком росте закупки запрос сети становится допустимым, а при каком ухудшает результат компании.</x:v>
      </x:c>
    </x:row>
    <x:row r="3"/>
    <x:row r="4" ht="15" hidden="0" customHeight="1">
      <x:c r="A4" s="14" t="str">
        <x:v>Сценарий</x:v>
      </x:c>
      <x:c r="B4" s="14" t="str">
        <x:v>Рост закупки</x:v>
      </x:c>
      <x:c r="C4" s="14" t="str">
        <x:v>Результат после</x:v>
      </x:c>
      <x:c r="D4" s="14" t="str">
        <x:v>Дельта к базе</x:v>
      </x:c>
      <x:c r="E4" s="14" t="str">
        <x:v>Потребность денег</x:v>
      </x:c>
      <x:c r="F4" s="14" t="str">
        <x:v>Вывод</x:v>
      </x:c>
    </x:row>
    <x:row r="5" ht="15" hidden="0" customHeight="1">
      <x:c r="A5" s="17" t="str">
        <x:v>Без роста</x:v>
      </x:c>
      <x:c r="B5" s="29" t="n">
        <x:v>0</x:v>
      </x:c>
      <x:c r="C5" s="30" t="n">
        <x:f>'02 Расчет'!C15*(1+B5)</x:f>
        <x:v>3398356.1643835614</x:v>
      </x:c>
      <x:c r="D5" s="30" t="n">
        <x:f>C5-'02 Расчет'!C7</x:f>
        <x:v>-2601643.8356164386</x:v>
      </x:c>
      <x:c r="E5" s="30" t="n">
        <x:f>'02 Расчет'!C13*(1+B5)</x:f>
        <x:v>3008219.178082192</x:v>
      </x:c>
      <x:c r="F5" s="17" t="str">
        <x:f>IF(D5&gt;=0,"не ухудшает результат", "ухудшает результат")</x:f>
        <x:v>ухудшает результат</x:v>
      </x:c>
    </x:row>
    <x:row r="6" ht="15" hidden="0" customHeight="1">
      <x:c r="A6" s="17" t="str">
        <x:v>Клиент обещает +25%</x:v>
      </x:c>
      <x:c r="B6" s="29" t="n">
        <x:v>0.25</x:v>
      </x:c>
      <x:c r="C6" s="30" t="n">
        <x:f>'02 Расчет'!C15*(1+B6)</x:f>
        <x:v>4247945.205479451</x:v>
      </x:c>
      <x:c r="D6" s="30" t="n">
        <x:f>C6-'02 Расчет'!C7</x:f>
        <x:v>-1752054.7945205485</x:v>
      </x:c>
      <x:c r="E6" s="30" t="n">
        <x:f>'02 Расчет'!C13*(1+B6)</x:f>
        <x:v>3760273.97260274</x:v>
      </x:c>
      <x:c r="F6" s="17" t="str">
        <x:f>IF(D6&gt;=0,"не ухудшает результат", "ухудшает результат")</x:f>
        <x:v>ухудшает результат</x:v>
      </x:c>
    </x:row>
    <x:row r="7" ht="15" hidden="0" customHeight="1">
      <x:c r="A7" s="17" t="str">
        <x:v>Компромисс +50%</x:v>
      </x:c>
      <x:c r="B7" s="29" t="n">
        <x:v>0.5</x:v>
      </x:c>
      <x:c r="C7" s="30" t="n">
        <x:f>'02 Расчет'!C15*(1+B7)</x:f>
        <x:v>5097534.2465753425</x:v>
      </x:c>
      <x:c r="D7" s="30" t="n">
        <x:f>C7-'02 Расчет'!C7</x:f>
        <x:v>-902465.7534246575</x:v>
      </x:c>
      <x:c r="E7" s="30" t="n">
        <x:f>'02 Расчет'!C13*(1+B7)</x:f>
        <x:v>4512328.767123288</x:v>
      </x:c>
      <x:c r="F7" s="17" t="str">
        <x:f>IF(D7&gt;=0,"не ухудшает результат", "ухудшает результат")</x:f>
        <x:v>ухудшает результат</x:v>
      </x:c>
    </x:row>
    <x:row r="8" ht="15" hidden="0" customHeight="1">
      <x:c r="A8" s="17" t="str">
        <x:v>Порог УМ</x:v>
      </x:c>
      <x:c r="B8" s="29" t="n">
        <x:f>'02 Расчет'!C19</x:f>
        <x:v>0.8</x:v>
      </x:c>
      <x:c r="C8" s="30" t="n">
        <x:f>'02 Расчет'!C15*(1+B8)</x:f>
        <x:v>6117041.09589041</x:v>
      </x:c>
      <x:c r="D8" s="30" t="n">
        <x:f>C8-'02 Расчет'!C7</x:f>
        <x:v>117041.09589041024</x:v>
      </x:c>
      <x:c r="E8" s="30" t="n">
        <x:f>'02 Расчет'!C13*(1+B8)</x:f>
        <x:v>5414794.520547945</x:v>
      </x:c>
      <x:c r="F8" s="17" t="str">
        <x:f>IF(D8&gt;=0,"не ухудшает результат", "ухудшает результат")</x:f>
        <x:v>не ухудшает результат</x:v>
      </x:c>
    </x:row>
    <x:row r="9" ht="15" hidden="0" customHeight="1">
      <x:c r="A9" s="17" t="str">
        <x:v>Предложение менеджера</x:v>
      </x:c>
      <x:c r="B9" s="29" t="n">
        <x:f>'01 Ввод'!C14</x:f>
        <x:v>0.8</x:v>
      </x:c>
      <x:c r="C9" s="30" t="n">
        <x:f>'02 Расчет'!C15*(1+B9)</x:f>
        <x:v>6117041.09589041</x:v>
      </x:c>
      <x:c r="D9" s="30" t="n">
        <x:f>C9-'02 Расчет'!C7</x:f>
        <x:v>117041.09589041024</x:v>
      </x:c>
      <x:c r="E9" s="30" t="n">
        <x:f>'02 Расчет'!C13*(1+B9)</x:f>
        <x:v>5414794.520547945</x:v>
      </x:c>
      <x:c r="F9" s="17" t="str">
        <x:f>IF(D9&gt;=0,"не ухудшает результат", "ухудшает результат")</x:f>
        <x:v>не ухудшает результат</x:v>
      </x:c>
    </x:row>
    <x:row r="10" ht="15" hidden="0" customHeight="1">
      <x:c r="A10" s="17" t="str">
        <x:v>Сильный сценарий +100%</x:v>
      </x:c>
      <x:c r="B10" s="29" t="n">
        <x:v>1</x:v>
      </x:c>
      <x:c r="C10" s="30" t="n">
        <x:f>'02 Расчет'!C15*(1+B10)</x:f>
        <x:v>6796712.328767123</x:v>
      </x:c>
      <x:c r="D10" s="30" t="n">
        <x:f>C10-'02 Расчет'!C7</x:f>
        <x:v>796712.3287671227</x:v>
      </x:c>
      <x:c r="E10" s="30" t="n">
        <x:f>'02 Расчет'!C13*(1+B10)</x:f>
        <x:v>6016438.356164384</x:v>
      </x:c>
      <x:c r="F10" s="17" t="str">
        <x:f>IF(D10&gt;=0,"не ухудшает результат", "ухудшает результат")</x:f>
        <x:v>не ухудшает результат</x:v>
      </x:c>
    </x:row>
    <x:row r="11"/>
    <x:row r="12" ht="15" hidden="0" customHeight="1">
      <x:c r="A12" s="14" t="str">
        <x:v>Рост закупки</x:v>
      </x:c>
      <x:c r="B12" s="14" t="str">
        <x:v>Дельта к базе</x:v>
      </x:c>
    </x:row>
    <x:row r="13" ht="15" hidden="0" customHeight="1">
      <x:c r="A13" s="29" t="n">
        <x:v>0</x:v>
      </x:c>
      <x:c r="B13" s="30" t="n">
        <x:f>'02 Расчет'!C15*(1+A13)-'02 Расчет'!C7</x:f>
        <x:v>-2601643.8356164386</x:v>
      </x:c>
    </x:row>
    <x:row r="14" ht="15" hidden="0" customHeight="1">
      <x:c r="A14" s="29" t="n">
        <x:v>0.25</x:v>
      </x:c>
      <x:c r="B14" s="30" t="n">
        <x:f>'02 Расчет'!C15*(1+A14)-'02 Расчет'!C7</x:f>
        <x:v>-1752054.7945205485</x:v>
      </x:c>
    </x:row>
    <x:row r="15" ht="15" hidden="0" customHeight="1">
      <x:c r="A15" s="29" t="n">
        <x:f>'02 Расчет'!C19</x:f>
        <x:v>0.8</x:v>
      </x:c>
      <x:c r="B15" s="30" t="n">
        <x:f>'02 Расчет'!C15*(1+A15)-'02 Расчет'!C7</x:f>
        <x:v>117041.09589041024</x:v>
      </x:c>
    </x:row>
    <x:row r="16" ht="15" hidden="0" customHeight="1">
      <x:c r="A16" s="29" t="n">
        <x:f>'01 Ввод'!C14</x:f>
        <x:v>0.8</x:v>
      </x:c>
      <x:c r="B16" s="30" t="n">
        <x:f>'02 Расчет'!C15*(1+A16)-'02 Расчет'!C7</x:f>
        <x:v>117041.09589041024</x:v>
      </x:c>
    </x:row>
    <x:row r="17" ht="15" hidden="0" customHeight="1">
      <x:c r="A17" s="29"/>
      <x:c r="B17" s="30" t="n">
        <x:f>'02 Расчет'!C15*(1+A17)-'02 Расчет'!C7</x:f>
        <x:v>-2601643.8356164386</x:v>
      </x:c>
    </x:row>
    <x:row r="18" ht="15" hidden="0" customHeight="1">
      <x:c r="A18" s="29" t="n">
        <x:v>1</x:v>
      </x:c>
      <x:c r="B18" s="30" t="n">
        <x:f>'02 Расчет'!C15*(1+A18)-'02 Расчет'!C7</x:f>
        <x:v>796712.3287671227</x:v>
      </x:c>
    </x:row>
  </x:sheetData>
  <x:mergeCells>
    <x:mergeCell ref="A1:F1"/>
    <x:mergeCell ref="A2:F2"/>
  </x:mergeCells>
  <x:conditionalFormatting sqref="D5:D10">
    <x:cfRule type="cellIs" dxfId="0" priority="1" operator="lessThan">
      <x:formula>0</x:formula>
    </x:cfRule>
    <x:cfRule type="cellIs" dxfId="1" priority="2" operator="greaterThanOrEqual">
      <x:formula>0</x:formula>
    </x:cfRule>
  </x:conditionalFormatting>
  <x:conditionalFormatting sqref="F5:F10">
    <x:cfRule type="containsText" dxfId="2" priority="3" operator="containsText" text="Отклонение"/>
    <x:cfRule type="containsText" dxfId="3" priority="4" operator="containsText" text="Провал"/>
    <x:cfRule type="containsText" dxfId="4" priority="5" operator="containsText" text="Нельзя"/>
    <x:cfRule type="containsText" dxfId="5" priority="6" operator="containsText" text="ждет факта"/>
    <x:cfRule type="containsText" dxfId="6" priority="7" operator="containsText" text="услов"/>
    <x:cfRule type="containsText" dxfId="7" priority="8" operator="containsText" text="ОК"/>
    <x:cfRule type="containsText" dxfId="8" priority="9" operator="containsText" text="Можно"/>
  </x:conditionalFormatting>
  <x:pageMargins left="0.7" right="0.7" top="0.75" bottom="0.75" header="0.3" footer="0.3"/>
  <x:drawing xmlns:r="http://schemas.openxmlformats.org/officeDocument/2006/relationships" r:id="R2078012f8bd54ccd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2" hidden="0" customWidth="1"/>
    <x:col min="3" max="3" width="24" hidden="0" customWidth="1"/>
    <x:col min="4" max="4" width="52" hidden="0" customWidth="1"/>
    <x:col min="5" max="5" width="28" hidden="0" customWidth="1"/>
  </x:cols>
  <x:sheetData>
    <x:row r="1" ht="18" hidden="0" customHeight="1">
      <x:c r="A1" s="5" t="str">
        <x:v>04 Контуры проверки УМ</x:v>
      </x:c>
      <x:c r="B1" s="5" t="str">
        <x:v>04 Контуры проверки УМ</x:v>
      </x:c>
      <x:c r="C1" s="5" t="str">
        <x:v>04 Контуры проверки УМ</x:v>
      </x:c>
      <x:c r="D1" s="5" t="str">
        <x:v>04 Контуры проверки УМ</x:v>
      </x:c>
      <x:c r="E1" s="5" t="str">
        <x:v>04 Контуры проверки УМ</x:v>
      </x:c>
    </x:row>
    <x:row r="2" ht="15" hidden="0" customHeight="1">
      <x:c r="A2" s="9" t="str">
        <x:v>Контуры фиксируют не только математику прибыли, но и деньги, налоговый режим, операционную выполнимость и договорные условия.</x:v>
      </x:c>
      <x:c r="B2" s="9" t="str">
        <x:v>Контуры фиксируют не только математику прибыли, но и деньги, налоговый режим, операционную выполнимость и договорные условия.</x:v>
      </x:c>
      <x:c r="C2" s="9" t="str">
        <x:v>Контуры фиксируют не только математику прибыли, но и деньги, налоговый режим, операционную выполнимость и договорные условия.</x:v>
      </x:c>
      <x:c r="D2" s="9" t="str">
        <x:v>Контуры фиксируют не только математику прибыли, но и деньги, налоговый режим, операционную выполнимость и договорные условия.</x:v>
      </x:c>
      <x:c r="E2" s="9" t="str">
        <x:v>Контуры фиксируют не только математику прибыли, но и деньги, налоговый режим, операционную выполнимость и договорные условия.</x:v>
      </x:c>
    </x:row>
    <x:row r="3"/>
    <x:row r="4" ht="15" hidden="0" customHeight="1">
      <x:c r="A4" s="14" t="str">
        <x:v>Контур</x:v>
      </x:c>
      <x:c r="B4" s="14" t="str">
        <x:v>Проверка</x:v>
      </x:c>
      <x:c r="C4" s="14" t="str">
        <x:v>Результат</x:v>
      </x:c>
      <x:c r="D4" s="14" t="str">
        <x:v>Как читать</x:v>
      </x:c>
      <x:c r="E4" s="14" t="str">
        <x:v>Ответственный</x:v>
      </x:c>
    </x:row>
    <x:row r="5" ht="26.399999618530273" hidden="0" customHeight="1">
      <x:c r="A5" s="17" t="str">
        <x:v>Прибыль</x:v>
      </x:c>
      <x:c r="B5" s="17" t="str">
        <x:v>Предложение не ухудшает текущий результат</x:v>
      </x:c>
      <x:c r="C5" s="24" t="str">
        <x:f>IF('02 Расчет'!C25&gt;=0,"ОК","Провал")</x:f>
        <x:v>ОК</x:v>
      </x:c>
      <x:c r="D5" s="17" t="str">
        <x:v>Дельта должна быть &gt;= 0.</x:v>
      </x:c>
      <x:c r="E5" s="17" t="str">
        <x:v>Коммерческий директор</x:v>
      </x:c>
    </x:row>
    <x:row r="6" ht="26.399999618530273" hidden="0" customHeight="1">
      <x:c r="A6" s="17" t="str">
        <x:v>Деньги</x:v>
      </x:c>
      <x:c r="B6" s="17" t="str">
        <x:v>Потребность в финансировании укладывается в лимит</x:v>
      </x:c>
      <x:c r="C6" s="24" t="str">
        <x:f>IF('02 Расчет'!C26&lt;='01 Ввод'!C15,"ОК","Провал")</x:f>
        <x:v>ОК</x:v>
      </x:c>
      <x:c r="D6" s="17" t="str">
        <x:v>Дополнительные деньги на отсрочку не должны превышать лимит.</x:v>
      </x:c>
      <x:c r="E6" s="17" t="str">
        <x:v>Финансовый директор</x:v>
      </x:c>
    </x:row>
    <x:row r="7" ht="26.399999618530273" hidden="0" customHeight="1">
      <x:c r="A7" s="17" t="str">
        <x:v>Налоговый контур</x:v>
      </x:c>
      <x:c r="B7" s="17" t="str">
        <x:v>ОСНО и НДС учтены в денежной потребности</x:v>
      </x:c>
      <x:c r="C7" s="24" t="str">
        <x:f>IF('01 Ввод'!C10="ОСНО","НДС включен в денежный контур","Проверить режим")</x:f>
        <x:v>НДС включен в денежный контур</x:v>
      </x:c>
      <x:c r="D7" s="17" t="str">
        <x:v>При ОСНО НДС влияет на денежный контур, а не должен смешиваться с выручкой без НДС.</x:v>
      </x:c>
      <x:c r="E7" s="17" t="str">
        <x:v>Финансовый директор</x:v>
      </x:c>
    </x:row>
    <x:row r="8" ht="26.399999618530273" hidden="0" customHeight="1">
      <x:c r="A8" s="17" t="str">
        <x:v>Операции</x:v>
      </x:c>
      <x:c r="B8" s="17" t="str">
        <x:v>Операционный лимит роста выдерживает требование</x:v>
      </x:c>
      <x:c r="C8" s="24" t="str">
        <x:f>IF('01 Ввод'!C16&gt;='02 Расчет'!C19,"ОК","Провал")</x:f>
        <x:v>ОК</x:v>
      </x:c>
      <x:c r="D8" s="17" t="str">
        <x:v>Компания должна обслужить требуемый объем.</x:v>
      </x:c>
      <x:c r="E8" s="17" t="str">
        <x:v>Операционный директор</x:v>
      </x:c>
    </x:row>
    <x:row r="9" ht="15" hidden="0" customHeight="1">
      <x:c r="A9" s="17" t="str">
        <x:v>Договор</x:v>
      </x:c>
      <x:c r="B9" s="17" t="str">
        <x:v>Рост объема закреплен</x:v>
      </x:c>
      <x:c r="C9" s="24" t="str">
        <x:f>IF('01 Ввод'!C17="Да","ОК","Провал")</x:f>
        <x:v>ОК</x:v>
      </x:c>
      <x:c r="D9" s="17" t="str">
        <x:v>Без обязательства объема скидка и отсрочка не защищены.</x:v>
      </x:c>
      <x:c r="E9" s="17" t="str">
        <x:v>Коммерческий директор</x:v>
      </x:c>
    </x:row>
    <x:row r="10" ht="26.399999618530273" hidden="0" customHeight="1">
      <x:c r="A10" s="17" t="str">
        <x:v>Контроль</x:v>
      </x:c>
      <x:c r="B10" s="17" t="str">
        <x:v>Есть право пересмотра условий</x:v>
      </x:c>
      <x:c r="C10" s="24" t="str">
        <x:f>IF('01 Ввод'!C18="Да","ОК","Провал")</x:f>
        <x:v>ОК</x:v>
      </x:c>
      <x:c r="D10" s="17" t="str">
        <x:v>Если сеть не выполняет объем, условия должны пересматриваться.</x:v>
      </x:c>
      <x:c r="E10" s="17" t="str">
        <x:v>Коммерческий директор</x:v>
      </x:c>
    </x:row>
  </x:sheetData>
  <x:mergeCells>
    <x:mergeCell ref="A1:E1"/>
    <x:mergeCell ref="A2:E2"/>
  </x:mergeCells>
  <x:conditionalFormatting sqref="C5:C10">
    <x:cfRule type="containsText" dxfId="23" priority="1" operator="containsText" text="Отклонение"/>
    <x:cfRule type="containsText" dxfId="24" priority="2" operator="containsText" text="Провал"/>
    <x:cfRule type="containsText" dxfId="25" priority="3" operator="containsText" text="Нельзя"/>
    <x:cfRule type="containsText" dxfId="26" priority="4" operator="containsText" text="ждет факта"/>
    <x:cfRule type="containsText" dxfId="27" priority="5" operator="containsText" text="услов"/>
    <x:cfRule type="containsText" dxfId="28" priority="6" operator="containsText" text="ОК"/>
    <x:cfRule type="containsText" dxfId="29" priority="7" operator="containsText" text="Можно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58" hidden="0" customWidth="1"/>
  </x:cols>
  <x:sheetData>
    <x:row r="1" ht="18" hidden="0" customHeight="1">
      <x:c r="A1" s="5" t="str">
        <x:v>05 Статус решения</x:v>
      </x:c>
      <x:c r="B1" s="5" t="str">
        <x:v>05 Статус решения</x:v>
      </x:c>
      <x:c r="C1" s="5" t="str">
        <x:v>05 Статус решения</x:v>
      </x:c>
    </x:row>
    <x:row r="2" ht="15" hidden="0" customHeight="1">
      <x:c r="A2" s="9" t="str">
        <x:v>Статус рассчитывается из порога роста, денег, операций и договорной защиты. Статус не вводится вручную.</x:v>
      </x:c>
      <x:c r="B2" s="9" t="str">
        <x:v>Статус рассчитывается из порога роста, денег, операций и договорной защиты. Статус не вводится вручную.</x:v>
      </x:c>
      <x:c r="C2" s="9" t="str">
        <x:v>Статус рассчитывается из порога роста, денег, операций и договорной защиты. Статус не вводится вручную.</x:v>
      </x:c>
    </x:row>
    <x:row r="3"/>
    <x:row r="4" ht="15" hidden="0" customHeight="1">
      <x:c r="A4" s="14" t="str">
        <x:v>Проверка</x:v>
      </x:c>
      <x:c r="B4" s="14" t="str">
        <x:v>Значение</x:v>
      </x:c>
      <x:c r="C4" s="14" t="str">
        <x:v>Комментарий</x:v>
      </x:c>
    </x:row>
    <x:row r="5" ht="15" hidden="0" customHeight="1">
      <x:c r="A5" s="17" t="str">
        <x:v>Минимальный рост закупки</x:v>
      </x:c>
      <x:c r="B5" s="26" t="n">
        <x:f>'02 Расчет'!C18</x:f>
        <x:v>0.7655594969364723</x:v>
      </x:c>
      <x:c r="C5" s="17" t="str">
        <x:v>Математический порог без управленческого округления.</x:v>
      </x:c>
    </x:row>
    <x:row r="6" ht="15" hidden="0" customHeight="1">
      <x:c r="A6" s="17" t="str">
        <x:v>Управленческий порог роста закупки</x:v>
      </x:c>
      <x:c r="B6" s="26" t="n">
        <x:f>'02 Расчет'!C19</x:f>
        <x:v>0.8</x:v>
      </x:c>
      <x:c r="C6" s="17" t="str">
        <x:v>Порог для переговоров, округленный вверх.</x:v>
      </x:c>
    </x:row>
    <x:row r="7" ht="15" hidden="0" customHeight="1">
      <x:c r="A7" s="17" t="str">
        <x:v>Предлагаемый рост закупки</x:v>
      </x:c>
      <x:c r="B7" s="26" t="n">
        <x:f>'01 Ввод'!C14</x:f>
        <x:v>0.8</x:v>
      </x:c>
      <x:c r="C7" s="17" t="str">
        <x:v>Ввод менеджера.</x:v>
      </x:c>
    </x:row>
    <x:row r="8" ht="15" hidden="0" customHeight="1">
      <x:c r="A8" s="17" t="str">
        <x:v>Потребность денег</x:v>
      </x:c>
      <x:c r="B8" s="25" t="n">
        <x:f>'02 Расчет'!C26</x:f>
        <x:v>5414794.520547945</x:v>
      </x:c>
      <x:c r="C8" s="17" t="str">
        <x:v>Финансирование доп. отсрочки.</x:v>
      </x:c>
    </x:row>
    <x:row r="9" ht="15" hidden="0" customHeight="1">
      <x:c r="A9" s="17" t="str">
        <x:v>Лимит финансирования</x:v>
      </x:c>
      <x:c r="B9" s="25" t="n">
        <x:f>'01 Ввод'!C15</x:f>
        <x:v>6000000</x:v>
      </x:c>
      <x:c r="C9" s="17" t="str">
        <x:v>Ограничение компании.</x:v>
      </x:c>
    </x:row>
    <x:row r="10" ht="15" hidden="0" customHeight="1">
      <x:c r="A10" s="17" t="str">
        <x:v>Операционный лимит роста</x:v>
      </x:c>
      <x:c r="B10" s="26" t="n">
        <x:f>'01 Ввод'!C16</x:f>
        <x:v>1</x:v>
      </x:c>
      <x:c r="C10" s="17" t="str">
        <x:v>Сколько роста компания способна обслужить.</x:v>
      </x:c>
    </x:row>
    <x:row r="11" ht="15" hidden="0" customHeight="1">
      <x:c r="A11" s="17" t="str">
        <x:v>Объем закреплен</x:v>
      </x:c>
      <x:c r="B11" s="24" t="str">
        <x:f>'01 Ввод'!C17</x:f>
        <x:v>Да</x:v>
      </x:c>
      <x:c r="C11" s="17" t="str">
        <x:v>Да/Нет.</x:v>
      </x:c>
    </x:row>
    <x:row r="12" ht="15" hidden="0" customHeight="1">
      <x:c r="A12" s="17" t="str">
        <x:v>Право пересмотра условий</x:v>
      </x:c>
      <x:c r="B12" s="24" t="str">
        <x:f>'01 Ввод'!C18</x:f>
        <x:v>Да</x:v>
      </x:c>
      <x:c r="C12" s="17" t="str">
        <x:v>Да/Нет.</x:v>
      </x:c>
    </x:row>
    <x:row r="13" ht="15" hidden="0" customHeight="1">
      <x:c r="A13" s="41" t="str">
        <x:v>Статус решения</x:v>
      </x:c>
      <x:c r="B13" s="41" t="str">
        <x:f>IF(AND(B7&gt;=B6,B8&lt;=B9,B10&gt;=B6,B11="Да",B12="Да"),"Можно при условиях",IF(AND(ISNUMBER(B7),ISNUMBER(B6),B7&lt;B6),"Нельзя в текущей модели",IF(OR(B11&lt;&gt;"Да",B12&lt;&gt;"Да",B8&gt;B9,B10&lt;B6),"Можно при условиях","Нельзя в текущей модели")))</x:f>
        <x:v>Можно при условиях</x:v>
      </x:c>
      <x:c r="C13" s="41" t="str">
        <x:v>Итоговый вердикт УМ.</x:v>
      </x:c>
    </x:row>
    <x:row r="14"/>
    <x:row r="15" ht="15" hidden="0" customHeight="1">
      <x:c r="A15" s="15" t="str">
        <x:v>Светофор</x:v>
      </x:c>
      <x:c r="B15" s="15"/>
    </x:row>
    <x:row r="16" ht="15" hidden="0" customHeight="1">
      <x:c r="A16" s="53" t="str">
        <x:v>Можно</x:v>
      </x:c>
      <x:c r="B16" s="53" t="str">
        <x:v>зеленый: расчет проходит</x:v>
      </x:c>
    </x:row>
    <x:row r="17" ht="15" hidden="0" customHeight="1">
      <x:c r="A17" s="54" t="str">
        <x:v>Можно при условиях</x:v>
      </x:c>
      <x:c r="B17" s="54" t="str">
        <x:v>желтый: запуск только при числовых условиях</x:v>
      </x:c>
    </x:row>
    <x:row r="18" ht="15" hidden="0" customHeight="1">
      <x:c r="A18" s="55" t="str">
        <x:v>Нельзя в текущей модели</x:v>
      </x:c>
      <x:c r="B18" s="55" t="str">
        <x:v>красный: текущие вводные не проходят расчет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2" hidden="0" customWidth="1"/>
  </x:cols>
  <x:sheetData>
    <x:row r="1" ht="18" hidden="0" customHeight="1">
      <x:c r="A1" s="5" t="str">
        <x:v>06 Готовый ответ клиенту</x:v>
      </x:c>
      <x:c r="B1" s="5" t="str">
        <x:v>06 Готовый ответ клиенту</x:v>
      </x:c>
    </x:row>
    <x:row r="2" ht="15" hidden="0" customHeight="1">
      <x:c r="A2" s="9" t="str">
        <x:v>Ответ формируется в языке переговоров: цена и отсрочка переводятся в объем закупки и договорные условия.</x:v>
      </x:c>
      <x:c r="B2" s="9" t="str">
        <x:v>Ответ формируется в языке переговоров: цена и отсрочка переводятся в объем закупки и договорные условия.</x:v>
      </x:c>
    </x:row>
    <x:row r="3"/>
    <x:row r="4" ht="15" hidden="0" customHeight="1">
      <x:c r="A4" s="14" t="str">
        <x:v>Блок ответа</x:v>
      </x:c>
      <x:c r="B4" s="14" t="str">
        <x:v>Текст</x:v>
      </x:c>
    </x:row>
    <x:row r="5" ht="26.399999618530273" hidden="0" customHeight="1">
      <x:c r="A5" s="43" t="str">
        <x:v>Короткий ответ</x:v>
      </x:c>
      <x:c r="B5" s="43" t="str">
        <x:f>"Мы готовы обсуждать дополнительную скидку "&amp;TEXT('01 Ввод'!C7,"0%")&amp;" и отсрочку "&amp;TEXT('01 Ввод'!C9,"0")&amp;" дней только при росте закупки не ниже "&amp;TEXT('02 Расчет'!C19,"0%")&amp;" и закреплении этого объема в договоре."</x:f>
        <x:v>Мы готовы обсуждать дополнительную скидку 10% и отсрочку 150 дней только при росте закупки не ниже 80% и закреплении этого объема в договоре.</x:v>
      </x:c>
    </x:row>
    <x:row r="6" ht="26.399999618530273" hidden="0" customHeight="1">
      <x:c r="A6" s="46" t="str">
        <x:v>Условия</x:v>
      </x:c>
      <x:c r="B6" s="46" t="str">
        <x:f>"Условия: объем закупки не ниже "&amp;TEXT('02 Расчет'!C19,"0%")&amp;" к текущему уровню; право пересмотра цены и отсрочки при недоборе объема; первый контроль "&amp;TEXT(DAY('01 Ввод'!C19),"00")&amp;"."&amp;TEXT(MONTH('01 Ввод'!C19),"00")&amp;"."&amp;YEAR('01 Ввод'!C19)&amp;"."</x:f>
        <x:v>Условия: объем закупки не ниже 80% к текущему уровню; право пересмотра цены и отсрочки при недоборе объема; первый контроль 01.08.2026.</x:v>
      </x:c>
    </x:row>
    <x:row r="7" ht="26.399999618530273" hidden="0" customHeight="1">
      <x:c r="A7" s="46" t="str">
        <x:v>Пояснение</x:v>
      </x:c>
      <x:c r="B7" s="48" t="str">
        <x:f>"Скидка снижает валовую прибыль. Дополнительная отсрочка создает потребность в финансировании. Поэтому ответ клиенту должен быть выражен через рост закупки, цену, срок оплаты и договорные условия."</x:f>
        <x:v>Скидка снижает валовую прибыль. Дополнительная отсрочка создает потребность в финансировании. Поэтому ответ клиенту должен быть выражен через рост закупки, цену, срок оплаты и договорные условия.</x:v>
      </x:c>
    </x:row>
    <x:row r="8" ht="26.399999618530273" hidden="0" customHeight="1">
      <x:c r="A8" s="46" t="str">
        <x:v>Если клиент не принимает объем</x:v>
      </x:c>
      <x:c r="B8" s="46" t="str">
        <x:f>IF('05 Статус'!B13="Можно", "Условия клиента можно согласовать при сохранении контрольной точки.", IF('05 Статус'!B13="Можно при условиях", "Если клиент не принимает рост закупки не ниже "&amp;TEXT('02 Расчет'!C19,"0%")&amp;", дополнительная скидка "&amp;TEXT('01 Ввод'!C7,"0%")&amp;" и отсрочка "&amp;TEXT('01 Ввод'!C9,"0")&amp;" дней не согласуются: они ухудшают результат или повышают денежную нагрузку без встречного объема.", "В текущей модели запрос клиента не согласуется. Минимальный управленческий порог роста закупки: "&amp;TEXT('02 Расчет'!C19,"0%")&amp;"; предложенный рост: "&amp;TEXT('01 Ввод'!C14,"0%")&amp;"."))</x:f>
        <x:v>Если клиент не принимает рост закупки не ниже 80%, дополнительная скидка 10% и отсрочка 150 дней не согласуются: они ухудшают результат или повышают денежную нагрузку без встречного объема.</x:v>
      </x:c>
    </x:row>
    <x:row r="9" ht="26.399999618530273" hidden="0" customHeight="1">
      <x:c r="A9" s="17" t="str">
        <x:v>Что нельзя говорить</x:v>
      </x:c>
      <x:c r="B9" s="17" t="str">
        <x:v>Не предлагать абстрактную “компенсацию отсрочки”. Вся экономика должна быть переведена в объем, цену, срок оплаты и договорные условия.</x:v>
      </x:c>
    </x:row>
  </x:sheetData>
  <x:mergeCells>
    <x:mergeCell ref="A1:B1"/>
    <x:mergeCell ref="A2:B2"/>
  </x:mergeCells>
  <x:conditionalFormatting sqref="B8:B8">
    <x:cfRule type="containsText" dxfId="9" priority="1" operator="containsText" text="Отклонение"/>
    <x:cfRule type="containsText" dxfId="10" priority="2" operator="containsText" text="Провал"/>
    <x:cfRule type="containsText" dxfId="11" priority="3" operator="containsText" text="Нельзя"/>
    <x:cfRule type="containsText" dxfId="12" priority="4" operator="containsText" text="ждет факта"/>
    <x:cfRule type="containsText" dxfId="13" priority="5" operator="containsText" text="услов"/>
    <x:cfRule type="containsText" dxfId="14" priority="6" operator="containsText" text="ОК"/>
    <x:cfRule type="containsText" dxfId="15" priority="7" operator="containsText" text="Можно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22" hidden="0" customWidth="1"/>
    <x:col min="5" max="5" width="42" hidden="0" customWidth="1"/>
    <x:col min="6" max="6" width="28" hidden="0" customWidth="1"/>
  </x:cols>
  <x:sheetData>
    <x:row r="1" ht="18" hidden="0" customHeight="1">
      <x:c r="A1" s="5" t="str">
        <x:v>07 Контроль исполнения</x:v>
      </x:c>
      <x:c r="B1" s="5" t="str">
        <x:v>07 Контроль исполнения</x:v>
      </x:c>
      <x:c r="C1" s="5" t="str">
        <x:v>07 Контроль исполнения</x:v>
      </x:c>
      <x:c r="D1" s="5" t="str">
        <x:v>07 Контроль исполнения</x:v>
      </x:c>
      <x:c r="E1" s="5" t="str">
        <x:v>07 Контроль исполнения</x:v>
      </x:c>
      <x:c r="F1" s="5" t="str">
        <x:v>07 Контроль исполнения</x:v>
      </x:c>
    </x:row>
    <x:row r="2" ht="15" hidden="0" customHeight="1">
      <x:c r="A2" s="9" t="str">
        <x:v>Если решение запускается при условиях, контроль фиксирует, что именно проверяется, когда и кем.</x:v>
      </x:c>
      <x:c r="B2" s="9" t="str">
        <x:v>Если решение запускается при условиях, контроль фиксирует, что именно проверяется, когда и кем.</x:v>
      </x:c>
      <x:c r="C2" s="9" t="str">
        <x:v>Если решение запускается при условиях, контроль фиксирует, что именно проверяется, когда и кем.</x:v>
      </x:c>
      <x:c r="D2" s="9" t="str">
        <x:v>Если решение запускается при условиях, контроль фиксирует, что именно проверяется, когда и кем.</x:v>
      </x:c>
      <x:c r="E2" s="9" t="str">
        <x:v>Если решение запускается при условиях, контроль фиксирует, что именно проверяется, когда и кем.</x:v>
      </x:c>
      <x:c r="F2" s="9" t="str">
        <x:v>Если решение запускается при условиях, контроль фиксирует, что именно проверяется, когда и кем.</x:v>
      </x:c>
    </x:row>
    <x:row r="3"/>
    <x:row r="4" ht="15" hidden="0" customHeight="1">
      <x:c r="A4" s="14" t="str">
        <x:v>Показатель контроля</x:v>
      </x:c>
      <x:c r="B4" s="14" t="str">
        <x:v>Порог</x:v>
      </x:c>
      <x:c r="C4" s="14" t="str">
        <x:v>Факт</x:v>
      </x:c>
      <x:c r="D4" s="14" t="str">
        <x:v>Статус</x:v>
      </x:c>
      <x:c r="E4" s="14" t="str">
        <x:v>Что делать при отклонении</x:v>
      </x:c>
      <x:c r="F4" s="14" t="str">
        <x:v>Ответственный</x:v>
      </x:c>
    </x:row>
    <x:row r="5" ht="26.399999618530273" hidden="0" customHeight="1">
      <x:c r="A5" s="17" t="str">
        <x:v>Рост закупки</x:v>
      </x:c>
      <x:c r="B5" s="26" t="n">
        <x:f>'02 Расчет'!C19</x:f>
        <x:v>0.8</x:v>
      </x:c>
      <x:c r="C5" s="21"/>
      <x:c r="D5" s="24" t="str">
        <x:f>IF(C5="","ждет факта",IF(C5&gt;=B5,"ОК","Отклонение"))</x:f>
        <x:v>ждет факта</x:v>
      </x:c>
      <x:c r="E5" s="17" t="str">
        <x:v>Вернуть цену и отсрочку к прежним условиям или пересчитать.</x:v>
      </x:c>
      <x:c r="F5" s="17" t="str">
        <x:f>'01 Ввод'!C20</x:f>
        <x:v>Коммерческий директор</x:v>
      </x:c>
    </x:row>
    <x:row r="6" ht="15" hidden="0" customHeight="1">
      <x:c r="A6" s="17" t="str">
        <x:v>Потребность денег</x:v>
      </x:c>
      <x:c r="B6" s="25" t="n">
        <x:f>'01 Ввод'!C15</x:f>
        <x:v>6000000</x:v>
      </x:c>
      <x:c r="C6" s="20"/>
      <x:c r="D6" s="24" t="str">
        <x:f>IF(C6="","ждет факта",IF(C6&lt;=B6,"ОК","Отклонение"))</x:f>
        <x:v>ждет факта</x:v>
      </x:c>
      <x:c r="E6" s="17" t="str">
        <x:v>Ограничить отгрузку или изменить график оплаты.</x:v>
      </x:c>
      <x:c r="F6" s="17" t="str">
        <x:f>'01 Ввод'!C21</x:f>
        <x:v>Финансовый директор</x:v>
      </x:c>
    </x:row>
    <x:row r="7" ht="15" hidden="0" customHeight="1">
      <x:c r="A7" s="17" t="str">
        <x:v>Валовая прибыль после условий</x:v>
      </x:c>
      <x:c r="B7" s="25" t="n">
        <x:f>'02 Расчет'!C7</x:f>
        <x:v>6000000</x:v>
      </x:c>
      <x:c r="C7" s="20"/>
      <x:c r="D7" s="24" t="str">
        <x:f>IF(C7="","ждет факта",IF(C7&gt;=B7,"ОК","Отклонение"))</x:f>
        <x:v>ждет факта</x:v>
      </x:c>
      <x:c r="E7" s="17" t="str">
        <x:v>Остановить условия при ухудшении ниже базы.</x:v>
      </x:c>
      <x:c r="F7" s="17" t="str">
        <x:f>'01 Ввод'!C21</x:f>
        <x:v>Финансовый директор</x:v>
      </x:c>
    </x:row>
    <x:row r="8" ht="26.399999618530273" hidden="0" customHeight="1">
      <x:c r="A8" s="17" t="str">
        <x:v>Дата контроля</x:v>
      </x:c>
      <x:c r="B8" s="37" t="n">
        <x:f>'01 Ввод'!C19</x:f>
        <x:v>46235</x:v>
      </x:c>
      <x:c r="C8" s="23"/>
      <x:c r="D8" s="24" t="str">
        <x:f>IF(C8="","ждет факта",IF(C8&lt;=B8,"ОК","Отклонение"))</x:f>
        <x:v>ждет факта</x:v>
      </x:c>
      <x:c r="E8" s="17" t="str">
        <x:v>Провести контрольную точку решения.</x:v>
      </x:c>
      <x:c r="F8" s="17" t="str">
        <x:f>'01 Ввод'!C20&amp;" + "&amp;'01 Ввод'!C21</x:f>
        <x:v>Коммерческий директор + Финансовый директор</x:v>
      </x:c>
    </x:row>
  </x:sheetData>
  <x:mergeCells>
    <x:mergeCell ref="A1:F1"/>
    <x:mergeCell ref="A2:F2"/>
  </x:mergeCells>
  <x:conditionalFormatting sqref="D5:D8">
    <x:cfRule type="containsText" dxfId="16" priority="1" operator="containsText" text="Отклонение"/>
    <x:cfRule type="containsText" dxfId="17" priority="2" operator="containsText" text="Провал"/>
    <x:cfRule type="containsText" dxfId="18" priority="3" operator="containsText" text="Нельзя"/>
    <x:cfRule type="containsText" dxfId="19" priority="4" operator="containsText" text="ждет факта"/>
    <x:cfRule type="containsText" dxfId="20" priority="5" operator="containsText" text="услов"/>
    <x:cfRule type="containsText" dxfId="21" priority="6" operator="containsText" text="ОК"/>
    <x:cfRule type="containsText" dxfId="22" priority="7" operator="containsText" text="Можно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6" hidden="0" customWidth="1"/>
    <x:col min="3" max="3" width="62" hidden="0" customWidth="1"/>
  </x:cols>
  <x:sheetData>
    <x:row r="1" ht="18" hidden="0" customHeight="1">
      <x:c r="A1" s="5" t="str">
        <x:v>08 Проверка модели</x:v>
      </x:c>
      <x:c r="B1" s="5" t="str">
        <x:v>08 Проверка модели</x:v>
      </x:c>
      <x:c r="C1" s="5" t="str">
        <x:v>08 Проверка модели</x:v>
      </x:c>
    </x:row>
    <x:row r="2" ht="15" hidden="0" customHeight="1">
      <x:c r="A2" s="9" t="str">
        <x:v>Контрольные проверки показывают, что решатор работает как расчетная модель, а не как статический пример.</x:v>
      </x:c>
      <x:c r="B2" s="9" t="str">
        <x:v>Контрольные проверки показывают, что решатор работает как расчетная модель, а не как статический пример.</x:v>
      </x:c>
      <x:c r="C2" s="9" t="str">
        <x:v>Контрольные проверки показывают, что решатор работает как расчетная модель, а не как статический пример.</x:v>
      </x:c>
    </x:row>
    <x:row r="3"/>
    <x:row r="4" ht="15" hidden="0" customHeight="1">
      <x:c r="A4" s="14" t="str">
        <x:v>Проверка</x:v>
      </x:c>
      <x:c r="B4" s="14" t="str">
        <x:v>Результат</x:v>
      </x:c>
      <x:c r="C4" s="14" t="str">
        <x:v>Комментарий</x:v>
      </x:c>
    </x:row>
    <x:row r="5" ht="26.399999618530273" hidden="0" customHeight="1">
      <x:c r="A5" s="17" t="str">
        <x:v>Нет отрицательной дополнительной отсрочки</x:v>
      </x:c>
      <x:c r="B5" s="24" t="str">
        <x:f>IF('02 Расчет'!C12&gt;=0,"PASS","FAIL")</x:f>
        <x:v>PASS</x:v>
      </x:c>
      <x:c r="C5" s="17" t="str">
        <x:v>Если новая отсрочка меньше текущей, дополнительные дни принимаются как 0.</x:v>
      </x:c>
    </x:row>
    <x:row r="6" ht="15" hidden="0" customHeight="1">
      <x:c r="A6" s="17" t="str">
        <x:v>Минимальный рост закупки рассчитан</x:v>
      </x:c>
      <x:c r="B6" s="24" t="str">
        <x:f>IF(ISNUMBER('02 Расчет'!C18),"PASS","FAIL")</x:f>
        <x:v>PASS</x:v>
      </x:c>
      <x:c r="C6" s="17" t="str">
        <x:v>Порог не должен быть пустым или ошибочным.</x:v>
      </x:c>
    </x:row>
    <x:row r="7" ht="15" hidden="0" customHeight="1">
      <x:c r="A7" s="17" t="str">
        <x:v>Предложение сравнивается с порогом</x:v>
      </x:c>
      <x:c r="B7" s="24" t="str">
        <x:f>IF(ISNUMBER('01 Ввод'!C14),"PASS","FAIL")</x:f>
        <x:v>PASS</x:v>
      </x:c>
      <x:c r="C7" s="17" t="str">
        <x:v>Статус меняется при изменении предлагаемого роста.</x:v>
      </x:c>
    </x:row>
    <x:row r="8" ht="15" hidden="0" customHeight="1">
      <x:c r="A8" s="17" t="str">
        <x:v>Денежный лимит проверяется</x:v>
      </x:c>
      <x:c r="B8" s="24" t="str">
        <x:f>IF(ISNUMBER('02 Расчет'!C26),"PASS","FAIL")</x:f>
        <x:v>PASS</x:v>
      </x:c>
      <x:c r="C8" s="17" t="str">
        <x:v>Потребность денег сравнивается с лимитом.</x:v>
      </x:c>
    </x:row>
    <x:row r="9" ht="26.399999618530273" hidden="0" customHeight="1">
      <x:c r="A9" s="17" t="str">
        <x:v>Договорные условия проверяются</x:v>
      </x:c>
      <x:c r="B9" s="24" t="str">
        <x:f>IF(AND(OR('01 Ввод'!C17="Да",'01 Ввод'!C17="Нет"),OR('01 Ввод'!C18="Да",'01 Ввод'!C18="Нет")),"PASS","FAIL")</x:f>
        <x:v>PASS</x:v>
      </x:c>
      <x:c r="C9" s="17" t="str">
        <x:v>Без закрепления объема или права пересмотра статус не должен быть безусловным.</x:v>
      </x:c>
    </x:row>
    <x:row r="10"/>
    <x:row r="11" ht="15" hidden="0" customHeight="1">
      <x:c r="A11" t="str">
        <x:v>Проверка v2: B8 динамический</x:v>
      </x:c>
      <x:c r="B11" t="str">
        <x:f>IF('06 Ответ клиенту'!B8&lt;&gt;"","PASS","FAIL")</x:f>
        <x:v>PASS</x:v>
      </x:c>
      <x:c r="C11" t="str">
        <x:v>B8 должен быть заполнен динамическим ответом, зависящим от статуса решения.</x:v>
      </x:c>
    </x:row>
    <x:row r="12" ht="15" hidden="0" customHeight="1">
      <x:c r="A12" t="str">
        <x:v>Проверка v2: дата в B6</x:v>
      </x:c>
      <x:c r="B12" t="str">
        <x:f>IF(ISNUMBER('01 Ввод'!C19),"PASS","FAIL")</x:f>
        <x:v>PASS</x:v>
      </x:c>
      <x:c r="C12" t="str">
        <x:v>Дата должна браться из листа 01 Ввод и собираться в текст ответа.</x:v>
      </x:c>
    </x:row>
  </x:sheetData>
  <x:mergeCells>
    <x:mergeCell ref="A1:C1"/>
    <x:mergeCell ref="A2:C2"/>
  </x:mergeCells>
  <x:conditionalFormatting sqref="B5:B12">
    <x:cfRule type="containsText" dxfId="30" priority="1" operator="containsText" text="Отклонение"/>
    <x:cfRule type="containsText" dxfId="31" priority="2" operator="containsText" text="Провал"/>
    <x:cfRule type="containsText" dxfId="32" priority="3" operator="containsText" text="Нельзя"/>
    <x:cfRule type="containsText" dxfId="33" priority="4" operator="containsText" text="ждет факта"/>
    <x:cfRule type="containsText" dxfId="34" priority="5" operator="containsText" text="услов"/>
    <x:cfRule type="containsText" dxfId="35" priority="6" operator="containsText" text="ОК"/>
    <x:cfRule type="containsText" dxfId="36" priority="7" operator="containsText" text="Можно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4" hidden="0" customWidth="1"/>
    <x:col min="4" max="4" width="92" hidden="0" customWidth="1"/>
    <x:col min="5" max="5" width="24" hidden="0" customWidth="1"/>
  </x:cols>
  <x:sheetData>
    <x:row r="1" ht="18" hidden="0" customHeight="1">
      <x:c r="A1" s="96" t="str">
        <x:v>00 Каталог решаторов УМ</x:v>
      </x:c>
      <x:c r="B1" s="96" t="str">
        <x:v>00 Каталог решаторов УМ</x:v>
      </x:c>
      <x:c r="C1" s="96" t="str">
        <x:v>00 Каталог решаторов УМ</x:v>
      </x:c>
      <x:c r="D1" s="96" t="str">
        <x:v>00 Каталог решаторов УМ</x:v>
      </x:c>
      <x:c r="E1" s="96" t="str">
        <x:v>00 Каталог решаторов УМ</x:v>
      </x:c>
    </x:row>
    <x:row r="2" ht="15" hidden="0" customHeight="1">
      <x:c r="A2" s="98" t="str">
        <x:v>Навигационный лист: полный каталог типовых решаторов УМ / Управленческой математики и статус текущего файла.</x:v>
      </x:c>
      <x:c r="B2" s="98" t="str">
        <x:v>Навигационный лист: полный каталог типовых решаторов УМ / Управленческой математики и статус текущего файла.</x:v>
      </x:c>
      <x:c r="C2" s="98" t="str">
        <x:v>Навигационный лист: полный каталог типовых решаторов УМ / Управленческой математики и статус текущего файла.</x:v>
      </x:c>
      <x:c r="D2" s="98" t="str">
        <x:v>Навигационный лист: полный каталог типовых решаторов УМ / Управленческой математики и статус текущего файла.</x:v>
      </x:c>
      <x:c r="E2" s="98" t="str">
        <x:v>Навигационный лист: полный каталог типовых решаторов УМ / Управленческой математики и статус текущего файла.</x:v>
      </x:c>
    </x:row>
    <x:row r="3"/>
    <x:row r="4" ht="15" hidden="0" customHeight="1">
      <x:c r="A4" s="103" t="str">
        <x:v>№</x:v>
      </x:c>
      <x:c r="B4" s="103" t="str">
        <x:v>Группа задач</x:v>
      </x:c>
      <x:c r="C4" s="103" t="str">
        <x:v>Название решатора</x:v>
      </x:c>
      <x:c r="D4" s="103" t="str">
        <x:v>Что показывает</x:v>
      </x:c>
      <x:c r="E4" s="103" t="str">
        <x:v>Статус</x:v>
      </x:c>
    </x:row>
    <x:row r="5" ht="15" hidden="0" customHeight="1">
      <x:c r="A5" s="106" t="n">
        <x:v>1</x:v>
      </x:c>
      <x:c r="B5" s="106" t="str">
        <x:v>Коммерческие условия</x:v>
      </x:c>
      <x:c r="C5" s="106" t="str">
        <x:v>Скидка и отсрочка клиента</x:v>
      </x:c>
      <x:c r="D5" s="106" t="str">
        <x:v>Какой рост закупки нужен, чтобы скидка и отсрочка не ухудшили результат.</x:v>
      </x:c>
      <x:c r="E5" s="106" t="str">
        <x:v>Текущий файл</x:v>
      </x:c>
    </x:row>
    <x:row r="6" ht="15" hidden="0" customHeight="1">
      <x:c r="A6" s="107" t="n">
        <x:v>2</x:v>
      </x:c>
      <x:c r="B6" s="107" t="str">
        <x:v>Коммерческие условия</x:v>
      </x:c>
      <x:c r="C6" s="107" t="str">
        <x:v>Минимальный объем для спецусловий</x:v>
      </x:c>
      <x:c r="D6" s="107" t="str">
        <x:v>При каком объеме можно дать цену, бонус, отсрочку или индивидуальные условия.</x:v>
      </x:c>
      <x:c r="E6" s="107" t="str">
        <x:v>Создан</x:v>
      </x:c>
    </x:row>
    <x:row r="7" ht="15" hidden="0" customHeight="1">
      <x:c r="A7" s="107" t="n">
        <x:v>3</x:v>
      </x:c>
      <x:c r="B7" s="107" t="str">
        <x:v>Коммерческие условия</x:v>
      </x:c>
      <x:c r="C7" s="107" t="str">
        <x:v>Цена сделки после всех условий</x:v>
      </x:c>
      <x:c r="D7" s="107" t="str">
        <x:v>Реальную прибыльность клиента после скидок, бонусов, логистики и отсрочки.</x:v>
      </x:c>
      <x:c r="E7" s="107" t="str">
        <x:v>Создан</x:v>
      </x:c>
    </x:row>
    <x:row r="8" ht="15" hidden="0" customHeight="1">
      <x:c r="A8" s="107" t="n">
        <x:v>4</x:v>
      </x:c>
      <x:c r="B8" s="107" t="str">
        <x:v>Маркетинг и каналы</x:v>
      </x:c>
      <x:c r="C8" s="107" t="str">
        <x:v>Рекламный бюджет и ROMI / возврат маркетинговых инвестиций</x:v>
      </x:c>
      <x:c r="D8" s="107" t="str">
        <x:v>Какой объем продаж нужен, чтобы рекламный бюджет окупился.</x:v>
      </x:c>
      <x:c r="E8" s="107" t="str">
        <x:v>Создан</x:v>
      </x:c>
    </x:row>
    <x:row r="9" ht="15" hidden="0" customHeight="1">
      <x:c r="A9" s="107" t="n">
        <x:v>5</x:v>
      </x:c>
      <x:c r="B9" s="107" t="str">
        <x:v>Маркетинг и каналы</x:v>
      </x:c>
      <x:c r="C9" s="107" t="str">
        <x:v>Промо-акция без потери прибыли</x:v>
      </x:c>
      <x:c r="D9" s="107" t="str">
        <x:v>Какой рост продаж должен компенсировать скидку, промо и дополнительные расходы.</x:v>
      </x:c>
      <x:c r="E9" s="107" t="str">
        <x:v>Создан</x:v>
      </x:c>
    </x:row>
    <x:row r="10" ht="15" hidden="0" customHeight="1">
      <x:c r="A10" s="107" t="n">
        <x:v>6</x:v>
      </x:c>
      <x:c r="B10" s="107" t="str">
        <x:v>Маркетинг и каналы</x:v>
      </x:c>
      <x:c r="C10" s="107" t="str">
        <x:v>Канал продаж: выгодно или нет</x:v>
      </x:c>
      <x:c r="D10" s="107" t="str">
        <x:v>Чистый результат канала после комиссии, логистики, возвратов и налогового контура.</x:v>
      </x:c>
      <x:c r="E10" s="107" t="str">
        <x:v>Создан</x:v>
      </x:c>
    </x:row>
    <x:row r="11" ht="15" hidden="0" customHeight="1">
      <x:c r="A11" s="107" t="n">
        <x:v>7</x:v>
      </x:c>
      <x:c r="B11" s="107" t="str">
        <x:v>Маркетплейсы</x:v>
      </x:c>
      <x:c r="C11" s="107" t="str">
        <x:v>Маркетплейс: цена, комиссия, логистика</x:v>
      </x:c>
      <x:c r="D11" s="107" t="str">
        <x:v>Реальную маржу SKU / товарной позиции на маркетплейсе.</x:v>
      </x:c>
      <x:c r="E11" s="107" t="str">
        <x:v>Создан</x:v>
      </x:c>
    </x:row>
    <x:row r="12" ht="15" hidden="0" customHeight="1">
      <x:c r="A12" s="107" t="n">
        <x:v>8</x:v>
      </x:c>
      <x:c r="B12" s="107" t="str">
        <x:v>Маркетплейсы</x:v>
      </x:c>
      <x:c r="C12" s="107" t="str">
        <x:v>Участие в акции маркетплейса</x:v>
      </x:c>
      <x:c r="D12" s="107" t="str">
        <x:v>Можно ли входить в акцию и какой рост продаж нужен для сохранения результата.</x:v>
      </x:c>
      <x:c r="E12" s="107" t="str">
        <x:v>Создан</x:v>
      </x:c>
    </x:row>
    <x:row r="13" ht="15" hidden="0" customHeight="1">
      <x:c r="A13" s="107" t="n">
        <x:v>9</x:v>
      </x:c>
      <x:c r="B13" s="107" t="str">
        <x:v>Ассортимент и продукт</x:v>
      </x:c>
      <x:c r="C13" s="107" t="str">
        <x:v>SKU: оставить, поднять цену или убрать</x:v>
      </x:c>
      <x:c r="D13" s="107" t="str">
        <x:v>Какие товарные позиции создают результат, а какие съедают деньги.</x:v>
      </x:c>
      <x:c r="E13" s="107" t="str">
        <x:v>Создан</x:v>
      </x:c>
    </x:row>
    <x:row r="14" ht="15" hidden="0" customHeight="1">
      <x:c r="A14" s="107" t="n">
        <x:v>10</x:v>
      </x:c>
      <x:c r="B14" s="107" t="str">
        <x:v>Ассортимент и продукт</x:v>
      </x:c>
      <x:c r="C14" s="107" t="str">
        <x:v>Новый продукт: точка допустимого запуска</x:v>
      </x:c>
      <x:c r="D14" s="107" t="str">
        <x:v>Минимальный объем, цена и маржа для запуска продукта.</x:v>
      </x:c>
      <x:c r="E14" s="107" t="str">
        <x:v>Создан</x:v>
      </x:c>
    </x:row>
    <x:row r="15" ht="15" hidden="0" customHeight="1">
      <x:c r="A15" s="107" t="n">
        <x:v>11</x:v>
      </x:c>
      <x:c r="B15" s="107" t="str">
        <x:v>Операции и логистика</x:v>
      </x:c>
      <x:c r="C15" s="107" t="str">
        <x:v>Запас и оборачиваемость</x:v>
      </x:c>
      <x:c r="D15" s="107" t="str">
        <x:v>Сколько денег замораживает запас и где начинается лишняя складская нагрузка.</x:v>
      </x:c>
      <x:c r="E15" s="107" t="str">
        <x:v>Создан</x:v>
      </x:c>
    </x:row>
    <x:row r="16" ht="15" hidden="0" customHeight="1">
      <x:c r="A16" s="107" t="n">
        <x:v>12</x:v>
      </x:c>
      <x:c r="B16" s="107" t="str">
        <x:v>Операции и логистика</x:v>
      </x:c>
      <x:c r="C16" s="107" t="str">
        <x:v>Производственная партия</x:v>
      </x:c>
      <x:c r="D16" s="107" t="str">
        <x:v>При каком объеме партия покрывает себестоимость, брак, логистику и операционные ограничения.</x:v>
      </x:c>
      <x:c r="E16" s="107" t="str">
        <x:v>Создан</x:v>
      </x:c>
    </x:row>
    <x:row r="17" ht="15" hidden="0" customHeight="1">
      <x:c r="A17" s="107" t="n">
        <x:v>13</x:v>
      </x:c>
      <x:c r="B17" s="107" t="str">
        <x:v>Операции и логистика</x:v>
      </x:c>
      <x:c r="C17" s="107" t="str">
        <x:v>SLA / уровень сервиса и цена выполнения</x:v>
      </x:c>
      <x:c r="D17" s="107" t="str">
        <x:v>Сколько стоит повышенный уровень сервиса и можно ли его обещать клиенту.</x:v>
      </x:c>
      <x:c r="E17" s="107" t="str">
        <x:v>Создан</x:v>
      </x:c>
    </x:row>
    <x:row r="18" ht="15" hidden="0" customHeight="1">
      <x:c r="A18" s="107" t="n">
        <x:v>14</x:v>
      </x:c>
      <x:c r="B18" s="107" t="str">
        <x:v>Финансы и деньги</x:v>
      </x:c>
      <x:c r="C18" s="107" t="str">
        <x:v>Денежный разрыв по решению</x:v>
      </x:c>
      <x:c r="D18" s="107" t="str">
        <x:v>Сколько денег нужно до поступления оплаты и выдерживает ли компания кассовый контур.</x:v>
      </x:c>
      <x:c r="E18" s="107" t="str">
        <x:v>Создан</x:v>
      </x:c>
    </x:row>
    <x:row r="19" ht="15" hidden="0" customHeight="1">
      <x:c r="A19" s="107" t="n">
        <x:v>15</x:v>
      </x:c>
      <x:c r="B19" s="107" t="str">
        <x:v>Финансы и деньги</x:v>
      </x:c>
      <x:c r="C19" s="107" t="str">
        <x:v>НДС и налоговый контур при ОСНО</x:v>
      </x:c>
      <x:c r="D19" s="107" t="str">
        <x:v>Как налоговый режим влияет на чистый результат и денежный поток.</x:v>
      </x:c>
      <x:c r="E19" s="107" t="str">
        <x:v>Создан</x:v>
      </x:c>
    </x:row>
    <x:row r="20" ht="15" hidden="0" customHeight="1">
      <x:c r="A20" s="107" t="n">
        <x:v>16</x:v>
      </x:c>
      <x:c r="B20" s="107" t="str">
        <x:v>Финансы и деньги</x:v>
      </x:c>
      <x:c r="C20" s="107" t="str">
        <x:v>ROI / возврат инвестиций и срок окупаемости</x:v>
      </x:c>
      <x:c r="D20" s="107" t="str">
        <x:v>Окупается ли вложение и при каких сценариях оно становится недопустимым.</x:v>
      </x:c>
      <x:c r="E20" s="107" t="str">
        <x:v>Создан</x:v>
      </x:c>
    </x:row>
    <x:row r="21" ht="15" hidden="0" customHeight="1">
      <x:c r="A21" s="107" t="n">
        <x:v>17</x:v>
      </x:c>
      <x:c r="B21" s="107" t="str">
        <x:v>Специальные решения</x:v>
      </x:c>
      <x:c r="C21" s="107" t="str">
        <x:v>TCO / совокупная стоимость владения проекта</x:v>
      </x:c>
      <x:c r="D21" s="107" t="str">
        <x:v>Полную стоимость решения: покупка, внедрение, поддержка, люди, риски.</x:v>
      </x:c>
      <x:c r="E21" s="107" t="str">
        <x:v>Создан</x:v>
      </x:c>
    </x:row>
    <x:row r="22" ht="15" hidden="0" customHeight="1">
      <x:c r="A22" s="107" t="n">
        <x:v>18</x:v>
      </x:c>
      <x:c r="B22" s="107" t="str">
        <x:v>Специальные решения</x:v>
      </x:c>
      <x:c r="C22" s="107" t="str">
        <x:v>Найм / подрядчик / автоматизация</x:v>
      </x:c>
      <x:c r="D22" s="107" t="str">
        <x:v>Что выгоднее: человек, подрядчик, автоматизация или отказ от инициативы.</x:v>
      </x:c>
      <x:c r="E22" s="107" t="str">
        <x:v>Создан</x:v>
      </x:c>
    </x:row>
    <x:row r="23"/>
    <x:row r="24" ht="15" hidden="0" customHeight="1">
      <x:c r="A24"/>
      <x:c r="B24"/>
      <x:c r="C24"/>
      <x:c r="D24"/>
      <x:c r="E24"/>
    </x:row>
    <x:row r="25" ht="15" hidden="0" customHeight="1">
      <x:c r="A25"/>
      <x:c r="B25"/>
      <x:c r="C25"/>
      <x:c r="D25"/>
      <x:c r="E25"/>
    </x:row>
    <x:row r="26" ht="15" hidden="0" customHeight="1">
      <x:c r="A26"/>
      <x:c r="B26"/>
      <x:c r="C26"/>
      <x:c r="D26"/>
      <x:c r="E26"/>
    </x:row>
  </x:sheetData>
  <x:mergeCells>
    <x:mergeCell ref="A1:E1"/>
    <x:mergeCell ref="A2:E2"/>
    <x:mergeCell ref="A24:E24"/>
    <x:mergeCell ref="A25:E25"/>
    <x:mergeCell ref="A26:E26"/>
  </x:mergeCells>
  <x:pageMargins left="0.7" right="0.7" top="0.75" bottom="0.75" header="0.3" footer="0.3"/>
</x:worksheet>
</file>