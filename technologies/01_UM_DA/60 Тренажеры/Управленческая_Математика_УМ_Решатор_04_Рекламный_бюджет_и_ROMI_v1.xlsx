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d11b418bb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Ввод" sheetId="1" r:id="R6143da34c488450b"/>
    <x:sheet xmlns:r="http://schemas.openxmlformats.org/officeDocument/2006/relationships" name="02 Расчет" sheetId="2" r:id="Rf48379e7f17e4c3c"/>
    <x:sheet xmlns:r="http://schemas.openxmlformats.org/officeDocument/2006/relationships" name="03 Сценарии" sheetId="3" r:id="R24b21c9ee162465f"/>
    <x:sheet xmlns:r="http://schemas.openxmlformats.org/officeDocument/2006/relationships" name="04 Контуры" sheetId="4" r:id="R8cec1b84a8234055"/>
    <x:sheet xmlns:r="http://schemas.openxmlformats.org/officeDocument/2006/relationships" name="05 Статус" sheetId="5" r:id="Rdf668e947ee74a3c"/>
    <x:sheet xmlns:r="http://schemas.openxmlformats.org/officeDocument/2006/relationships" name="06 Ответ" sheetId="6" r:id="R316dc04ab63147fd"/>
    <x:sheet xmlns:r="http://schemas.openxmlformats.org/officeDocument/2006/relationships" name="07 Контроль" sheetId="7" r:id="R61cf2d1e81e645f2"/>
    <x:sheet xmlns:r="http://schemas.openxmlformats.org/officeDocument/2006/relationships" name="08 Проверка" sheetId="8" r:id="R872aed23bbc64084"/>
    <x:sheet xmlns:r="http://schemas.openxmlformats.org/officeDocument/2006/relationships" name="00 Каталог" sheetId="9" r:id="Ra1498909c63d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0"/>
  </x:numFmts>
  <x:fonts count="10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sz val="11"/>
      <x:color rgb="FF8A2D2D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DDEFEA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3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wrapText="1"/>
    </x:xf>
    <x:xf numFmtId="203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wrapText="1"/>
    </x:xf>
    <x:xf numFmtId="203" fontId="6" fillId="13" borderId="1" xfId="0" applyNumberFormat="1" applyFont="1" applyFill="1" applyBorder="1" applyAlignment="1">
      <x:alignment wrapText="1"/>
    </x:xf>
    <x:xf numFmtId="0" fontId="6" fillId="13" borderId="1" xfId="0" applyNumberFormat="1" applyFont="1" applyFill="1" applyBorder="1" applyAlignment="1">
      <x:alignment wrapText="1"/>
    </x:xf>
    <x:xf numFmtId="203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2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6" fillId="18" borderId="1" xfId="0" applyNumberFormat="1" applyFont="1" applyFill="1" applyBorder="1" applyAlignment="1">
      <x:alignment wrapText="1"/>
    </x:xf>
    <x:xf numFmtId="0" fontId="7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2" fillId="19" borderId="0" xfId="0" applyNumberFormat="1" applyFont="1" applyFill="1" applyBorder="1"/>
    <x:xf numFmtId="0" fontId="3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6" fillId="23" borderId="1" xfId="0" applyNumberFormat="1" applyFont="1" applyFill="1" applyBorder="1" applyAlignment="1">
      <x:alignment wrapText="1"/>
    </x:xf>
    <x:xf numFmtId="0" fontId="7" fillId="23" borderId="1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ebb5939f448bf" /><Relationship Type="http://schemas.openxmlformats.org/officeDocument/2006/relationships/theme" Target="/xl/theme/theme1.xml" Id="R50009701a6974842" /><Relationship Type="http://schemas.openxmlformats.org/officeDocument/2006/relationships/sharedStrings" Target="/xl/sharedStrings.xml" Id="R782b719472ab4fcc" /><Relationship Type="http://schemas.openxmlformats.org/officeDocument/2006/relationships/worksheet" Target="/xl/worksheets/sheet1.xml" Id="R6143da34c488450b" /><Relationship Type="http://schemas.openxmlformats.org/officeDocument/2006/relationships/worksheet" Target="/xl/worksheets/sheet2.xml" Id="Rf48379e7f17e4c3c" /><Relationship Type="http://schemas.openxmlformats.org/officeDocument/2006/relationships/worksheet" Target="/xl/worksheets/sheet3.xml" Id="R24b21c9ee162465f" /><Relationship Type="http://schemas.openxmlformats.org/officeDocument/2006/relationships/worksheet" Target="/xl/worksheets/sheet4.xml" Id="R8cec1b84a8234055" /><Relationship Type="http://schemas.openxmlformats.org/officeDocument/2006/relationships/worksheet" Target="/xl/worksheets/sheet5.xml" Id="Rdf668e947ee74a3c" /><Relationship Type="http://schemas.openxmlformats.org/officeDocument/2006/relationships/worksheet" Target="/xl/worksheets/sheet6.xml" Id="R316dc04ab63147fd" /><Relationship Type="http://schemas.openxmlformats.org/officeDocument/2006/relationships/worksheet" Target="/xl/worksheets/sheet7.xml" Id="R61cf2d1e81e645f2" /><Relationship Type="http://schemas.openxmlformats.org/officeDocument/2006/relationships/worksheet" Target="/xl/worksheets/sheet8.xml" Id="R872aed23bbc64084" /><Relationship Type="http://schemas.openxmlformats.org/officeDocument/2006/relationships/worksheet" Target="/xl/worksheets/sheet9.xml" Id="Ra1498909c63d45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624ca2690344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Чистый результат кампании по сценариям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Результат</c:v>
          </c:tx>
          <c:dLbls/>
          <c:cat>
            <c:strRef>
              <c:f>'03 Сценарии'!$A$14:$A$18</c:f>
              <c:strCache>
                <c:ptCount val="0"/>
              </c:strCache>
            </c:strRef>
          </c:cat>
          <c:val>
            <c:numRef>
              <c:f>'03 Сценарии'!$B$14:$B$18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624ca2690344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b66a814e491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4" hidden="0" customWidth="1"/>
    <x:col min="5" max="5" width="54" hidden="0" customWidth="1"/>
    <x:col min="6" max="6" width="16" hidden="0" customWidth="1"/>
  </x:cols>
  <x:sheetData>
    <x:row r="1" ht="18" hidden="0" customHeight="1">
      <x:c r="A1" s="5" t="str">
        <x:v>УМ решатор: рекламный бюджет и ROMI / возврат маркетинговых инвестиций</x:v>
      </x:c>
      <x:c r="B1" s="5" t="str">
        <x:v>УМ решатор: рекламный бюджет и ROMI / возврат маркетинговых инвестиций</x:v>
      </x:c>
      <x:c r="C1" s="5" t="str">
        <x:v>УМ решатор: рекламный бюджет и ROMI / возврат маркетинговых инвестиций</x:v>
      </x:c>
      <x:c r="D1" s="5" t="str">
        <x:v>УМ решатор: рекламный бюджет и ROMI / возврат маркетинговых инвестиций</x:v>
      </x:c>
      <x:c r="E1" s="5" t="str">
        <x:v>УМ решатор: рекламный бюджет и ROMI / возврат маркетинговых инвестиций</x:v>
      </x:c>
      <x:c r="F1" s="5" t="str">
        <x:v>УМ решатор: рекламный бюджет и ROMI / возврат маркетинговых инвестиций</x:v>
      </x:c>
    </x:row>
    <x:row r="2" ht="15" hidden="0" customHeight="1">
      <x:c r="A2" s="8" t="str">
        <x:v>Решатор показывает, какой дополнительный объем продаж нужен, чтобы рекламный бюджет окупился и прошел целевой ROMI / возврат маркетинговых инвестиций.</x:v>
      </x:c>
      <x:c r="B2" s="8" t="str">
        <x:v>Решатор показывает, какой дополнительный объем продаж нужен, чтобы рекламный бюджет окупился и прошел целевой ROMI / возврат маркетинговых инвестиций.</x:v>
      </x:c>
      <x:c r="C2" s="8" t="str">
        <x:v>Решатор показывает, какой дополнительный объем продаж нужен, чтобы рекламный бюджет окупился и прошел целевой ROMI / возврат маркетинговых инвестиций.</x:v>
      </x:c>
      <x:c r="D2" s="8" t="str">
        <x:v>Решатор показывает, какой дополнительный объем продаж нужен, чтобы рекламный бюджет окупился и прошел целевой ROMI / возврат маркетинговых инвестиций.</x:v>
      </x:c>
      <x:c r="E2" s="8" t="str">
        <x:v>Решатор показывает, какой дополнительный объем продаж нужен, чтобы рекламный бюджет окупился и прошел целевой ROMI / возврат маркетинговых инвестиций.</x:v>
      </x:c>
      <x:c r="F2" s="8" t="str">
        <x:v>Решатор показывает, какой дополнительный объем продаж нужен, чтобы рекламный бюджет окупился и прошел целевой ROMI / возврат маркетинговых инвестиций.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Комментарий</x:v>
      </x:c>
      <x:c r="F4" s="13" t="str">
        <x:v>Статус</x:v>
      </x:c>
    </x:row>
    <x:row r="5" ht="15" hidden="0" customHeight="1">
      <x:c r="A5" s="16" t="str">
        <x:v>Запрос</x:v>
      </x:c>
      <x:c r="B5" s="16" t="str">
        <x:v>Дополнительный рекламный бюджет</x:v>
      </x:c>
      <x:c r="C5" s="19" t="n">
        <x:v>1500000</x:v>
      </x:c>
      <x:c r="D5" s="16" t="str">
        <x:v>руб.</x:v>
      </x:c>
      <x:c r="E5" s="16" t="str">
        <x:v>Сумма дополнительного бюджета.</x:v>
      </x:c>
      <x:c r="F5" s="16" t="str">
        <x:v>Ввод</x:v>
      </x:c>
    </x:row>
    <x:row r="6" ht="15" hidden="0" customHeight="1">
      <x:c r="A6" s="16" t="str">
        <x:v>Экономика</x:v>
      </x:c>
      <x:c r="B6" s="16" t="str">
        <x:v>Средняя цена заказа без НДС</x:v>
      </x:c>
      <x:c r="C6" s="19" t="n">
        <x:v>5000</x:v>
      </x:c>
      <x:c r="D6" s="16" t="str">
        <x:v>руб.</x:v>
      </x:c>
      <x:c r="E6" s="16" t="str">
        <x:v>Средний чек без НДС.</x:v>
      </x:c>
      <x:c r="F6" s="16" t="str">
        <x:v>Ввод</x:v>
      </x:c>
    </x:row>
    <x:row r="7" ht="15" hidden="0" customHeight="1">
      <x:c r="A7" s="16" t="str">
        <x:v>Экономика</x:v>
      </x:c>
      <x:c r="B7" s="16" t="str">
        <x:v>Переменная себестоимость заказа</x:v>
      </x:c>
      <x:c r="C7" s="19" t="n">
        <x:v>3000</x:v>
      </x:c>
      <x:c r="D7" s="16" t="str">
        <x:v>руб.</x:v>
      </x:c>
      <x:c r="E7" s="16" t="str">
        <x:v>Переменные затраты на заказ без НДС.</x:v>
      </x:c>
      <x:c r="F7" s="16" t="str">
        <x:v>Ввод</x:v>
      </x:c>
    </x:row>
    <x:row r="8" ht="15" hidden="0" customHeight="1">
      <x:c r="A8" s="16" t="str">
        <x:v>Факт</x:v>
      </x:c>
      <x:c r="B8" s="16" t="str">
        <x:v>Текущие заказы в месяц</x:v>
      </x:c>
      <x:c r="C8" s="19" t="n">
        <x:v>1000</x:v>
      </x:c>
      <x:c r="D8" s="16" t="str">
        <x:v>шт.</x:v>
      </x:c>
      <x:c r="E8" s="16" t="str">
        <x:v>База для понимания масштаба.</x:v>
      </x:c>
      <x:c r="F8" s="16" t="str">
        <x:v>Ввод</x:v>
      </x:c>
    </x:row>
    <x:row r="9" ht="15" hidden="0" customHeight="1">
      <x:c r="A9" s="16" t="str">
        <x:v>Прогноз</x:v>
      </x:c>
      <x:c r="B9" s="16" t="str">
        <x:v>Ожидаемые дополнительные заказы</x:v>
      </x:c>
      <x:c r="C9" s="19" t="n">
        <x:v>1100</x:v>
      </x:c>
      <x:c r="D9" s="16" t="str">
        <x:v>шт.</x:v>
      </x:c>
      <x:c r="E9" s="16" t="str">
        <x:v>Объем, который маркетинг ожидает получить.</x:v>
      </x:c>
      <x:c r="F9" s="16" t="str">
        <x:v>Ввод</x:v>
      </x:c>
    </x:row>
    <x:row r="10" ht="26.399999618530273" hidden="0" customHeight="1">
      <x:c r="A10" s="16" t="str">
        <x:v>Порог</x:v>
      </x:c>
      <x:c r="B10" s="16" t="str">
        <x:v>Целевой ROMI / возврат маркетинговых инвестиций</x:v>
      </x:c>
      <x:c r="C10" s="20" t="n">
        <x:v>0.3</x:v>
      </x:c>
      <x:c r="D10" s="16" t="str">
        <x:v>%</x:v>
      </x:c>
      <x:c r="E10" s="16" t="str">
        <x:v>Минимальный возврат маркетинговых инвестиций.</x:v>
      </x:c>
      <x:c r="F10" s="16" t="str">
        <x:v>Ввод</x:v>
      </x:c>
    </x:row>
    <x:row r="11" ht="15" hidden="0" customHeight="1">
      <x:c r="A11" s="16" t="str">
        <x:v>Факт</x:v>
      </x:c>
      <x:c r="B11" s="16" t="str">
        <x:v>Налоговый режим</x:v>
      </x:c>
      <x:c r="C11" s="18" t="str">
        <x:v>ОСНО</x:v>
      </x:c>
      <x:c r="D11" s="16" t="str">
        <x:v>режим</x:v>
      </x:c>
      <x:c r="E11" s="16" t="str">
        <x:v>При ОСНО выручка берется без НДС.</x:v>
      </x:c>
      <x:c r="F11" s="16" t="str">
        <x:v>Ввод</x:v>
      </x:c>
    </x:row>
    <x:row r="12" ht="15" hidden="0" customHeight="1">
      <x:c r="A12" s="16" t="str">
        <x:v>Допущение</x:v>
      </x:c>
      <x:c r="B12" s="16" t="str">
        <x:v>Ставка НДС</x:v>
      </x:c>
      <x:c r="C12" s="20" t="n">
        <x:v>0.22</x:v>
      </x:c>
      <x:c r="D12" s="16" t="str">
        <x:v>%</x:v>
      </x:c>
      <x:c r="E12" s="16" t="str">
        <x:v>НДС не считается выручкой при ОСНО.</x:v>
      </x:c>
      <x:c r="F12" s="16" t="str">
        <x:v>Ввод</x:v>
      </x:c>
    </x:row>
    <x:row r="13" ht="15" hidden="0" customHeight="1">
      <x:c r="A13" s="16" t="str">
        <x:v>Расходы</x:v>
      </x:c>
      <x:c r="B13" s="16" t="str">
        <x:v>Дополнительные операционные расходы</x:v>
      </x:c>
      <x:c r="C13" s="19" t="n">
        <x:v>200000</x:v>
      </x:c>
      <x:c r="D13" s="16" t="str">
        <x:v>руб.</x:v>
      </x:c>
      <x:c r="E13" s="16" t="str">
        <x:v>Креативы, подрядчики, настройка, аналитика.</x:v>
      </x:c>
      <x:c r="F13" s="16" t="str">
        <x:v>Ввод</x:v>
      </x:c>
    </x:row>
    <x:row r="14" ht="26.399999618530273" hidden="0" customHeight="1">
      <x:c r="A14" s="16" t="str">
        <x:v>Ограничение</x:v>
      </x:c>
      <x:c r="B14" s="16" t="str">
        <x:v>Операционный лимит дополнительных заказов</x:v>
      </x:c>
      <x:c r="C14" s="19" t="n">
        <x:v>1500</x:v>
      </x:c>
      <x:c r="D14" s="16" t="str">
        <x:v>шт.</x:v>
      </x:c>
      <x:c r="E14" s="16" t="str">
        <x:v>Сколько заказов компания может выполнить.</x:v>
      </x:c>
      <x:c r="F14" s="16" t="str">
        <x:v>Ввод</x:v>
      </x:c>
    </x:row>
    <x:row r="15" ht="15" hidden="0" customHeight="1">
      <x:c r="A15" s="16" t="str">
        <x:v>Качество данных</x:v>
      </x:c>
      <x:c r="B15" s="16" t="str">
        <x:v>Данные по конверсии подтверждены</x:v>
      </x:c>
      <x:c r="C15" s="18" t="str">
        <x:v>Да</x:v>
      </x:c>
      <x:c r="D15" s="16" t="str">
        <x:v>Да/Нет</x:v>
      </x:c>
      <x:c r="E15" s="16" t="str">
        <x:v>Есть ли подтверждение воронки и конверсии.</x:v>
      </x:c>
      <x:c r="F15" s="16" t="str">
        <x:v>Ввод</x:v>
      </x:c>
    </x:row>
    <x:row r="16" ht="15" hidden="0" customHeight="1">
      <x:c r="A16" s="16" t="str">
        <x:v>Контроль</x:v>
      </x:c>
      <x:c r="B16" s="16" t="str">
        <x:v>Дата первого контроля</x:v>
      </x:c>
      <x:c r="C16" s="21" t="n">
        <x:v>46235</x:v>
      </x:c>
      <x:c r="D16" s="16" t="str">
        <x:v>дата</x:v>
      </x:c>
      <x:c r="E16" s="16" t="str">
        <x:v>Дата проверки факта заказов и ROMI.</x:v>
      </x:c>
      <x:c r="F16" s="16" t="str">
        <x:v>Ввод</x:v>
      </x:c>
    </x:row>
    <x:row r="17" ht="26.399999618530273" hidden="0" customHeight="1">
      <x:c r="A17" s="16" t="str">
        <x:v>Ответственный</x:v>
      </x:c>
      <x:c r="B17" s="16" t="str">
        <x:v>Маркетинговый директор</x:v>
      </x:c>
      <x:c r="C17" s="18" t="str">
        <x:v>Маркетинговый директор</x:v>
      </x:c>
      <x:c r="D17" s="16" t="str">
        <x:v>роль</x:v>
      </x:c>
      <x:c r="E17" s="16" t="str">
        <x:v>Отвечает за объем и канал.</x:v>
      </x:c>
      <x:c r="F17" s="16" t="str">
        <x:v>Ввод</x:v>
      </x:c>
    </x:row>
    <x:row r="18" ht="15" hidden="0" customHeight="1">
      <x:c r="A18" s="16" t="str">
        <x:v>Ответственный</x:v>
      </x:c>
      <x:c r="B18" s="16" t="str">
        <x:v>Финансовый директор / CFO</x:v>
      </x:c>
      <x:c r="C18" s="18" t="str">
        <x:v>Финансовый директор</x:v>
      </x:c>
      <x:c r="D18" s="16" t="str">
        <x:v>роль</x:v>
      </x:c>
      <x:c r="E18" s="16" t="str">
        <x:v>Отвечает за экономику и деньги.</x:v>
      </x:c>
      <x:c r="F18" s="16" t="str">
        <x:v>Ввод</x:v>
      </x:c>
    </x:row>
  </x:sheetData>
  <x:mergeCells>
    <x:mergeCell ref="A1:F1"/>
    <x:mergeCell ref="A2:F2"/>
  </x:mergeCells>
  <x:dataValidations count="2">
    <x:dataValidation type="list" sqref="C15">
      <x:formula1>"Да,Нет"</x:formula1>
    </x:dataValidation>
    <x:dataValidation type="list" sqref="C11">
      <x:formula1>"ОСНО,УСН"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5" t="str">
        <x:v>02 Расчет: рекламный бюджет в требуемый объем продаж</x:v>
      </x:c>
      <x:c r="B1" s="5" t="str">
        <x:v>02 Расчет: рекламный бюджет в требуемый объем продаж</x:v>
      </x:c>
      <x:c r="C1" s="5" t="str">
        <x:v>02 Расчет: рекламный бюджет в требуемый объем продаж</x:v>
      </x:c>
      <x:c r="D1" s="5" t="str">
        <x:v>02 Расчет: рекламный бюджет в требуемый объем продаж</x:v>
      </x:c>
      <x:c r="E1" s="5" t="str">
        <x:v>02 Расчет: рекламный бюджет в требуемый объем продаж</x:v>
      </x:c>
    </x:row>
    <x:row r="2" ht="15" hidden="0" customHeight="1">
      <x:c r="A2" s="8" t="str">
        <x:v>Логика УМ: рекламный бюджет разрешается не по обещаниям охвата, а по маржинальному результату, ROMI / возврату маркетинговых инвестиций и подтвержденному объему.</x:v>
      </x:c>
      <x:c r="B2" s="8" t="str">
        <x:v>Логика УМ: рекламный бюджет разрешается не по обещаниям охвата, а по маржинальному результату, ROMI / возврату маркетинговых инвестиций и подтвержденному объему.</x:v>
      </x:c>
      <x:c r="C2" s="8" t="str">
        <x:v>Логика УМ: рекламный бюджет разрешается не по обещаниям охвата, а по маржинальному результату, ROMI / возврату маркетинговых инвестиций и подтвержденному объему.</x:v>
      </x:c>
      <x:c r="D2" s="8" t="str">
        <x:v>Логика УМ: рекламный бюджет разрешается не по обещаниям охвата, а по маржинальному результату, ROMI / возврату маркетинговых инвестиций и подтвержденному объему.</x:v>
      </x:c>
      <x:c r="E2" s="8" t="str">
        <x:v>Логика УМ: рекламный бюджет разрешается не по обещаниям охвата, а по маржинальному результату, ROMI / возврату маркетинговых инвестиций и подтвержденному объему.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Формула / смысл</x:v>
      </x:c>
    </x:row>
    <x:row r="5" ht="15" hidden="0" customHeight="1">
      <x:c r="A5" s="16" t="str">
        <x:v>Маржа</x:v>
      </x:c>
      <x:c r="B5" s="16" t="str">
        <x:v>Маржинальный доход на заказ</x:v>
      </x:c>
      <x:c r="C5" s="23" t="n">
        <x:f>'01 Ввод'!C6-'01 Ввод'!C7</x:f>
        <x:v>2000</x:v>
      </x:c>
      <x:c r="D5" s="16" t="str">
        <x:v>руб.</x:v>
      </x:c>
      <x:c r="E5" s="16" t="str">
        <x:v>Цена без НДС минус переменная себестоимость.</x:v>
      </x:c>
    </x:row>
    <x:row r="6" ht="15" hidden="0" customHeight="1">
      <x:c r="A6" s="16" t="str">
        <x:v>Бюджет</x:v>
      </x:c>
      <x:c r="B6" s="16" t="str">
        <x:v>Полная стоимость кампании</x:v>
      </x:c>
      <x:c r="C6" s="23" t="n">
        <x:f>'01 Ввод'!C5+'01 Ввод'!C13</x:f>
        <x:v>1700000</x:v>
      </x:c>
      <x:c r="D6" s="16" t="str">
        <x:v>руб.</x:v>
      </x:c>
      <x:c r="E6" s="16" t="str">
        <x:v>Рекламный бюджет + дополнительные расходы.</x:v>
      </x:c>
    </x:row>
    <x:row r="7" ht="15" hidden="0" customHeight="1">
      <x:c r="A7" s="16" t="str">
        <x:v>Порог</x:v>
      </x:c>
      <x:c r="B7" s="16" t="str">
        <x:v>Заказы для безубыточности</x:v>
      </x:c>
      <x:c r="C7" s="23" t="n">
        <x:f>IF(C5&lt;=0,999999,C6/C5)</x:f>
        <x:v>850</x:v>
      </x:c>
      <x:c r="D7" s="16" t="str">
        <x:v>шт.</x:v>
      </x:c>
      <x:c r="E7" s="16" t="str">
        <x:v>Полная стоимость кампании / маржинальный доход.</x:v>
      </x:c>
    </x:row>
    <x:row r="8" ht="15" hidden="0" customHeight="1">
      <x:c r="A8" s="16" t="str">
        <x:v>Порог</x:v>
      </x:c>
      <x:c r="B8" s="16" t="str">
        <x:v>Заказы для целевого ROMI</x:v>
      </x:c>
      <x:c r="C8" s="23" t="n">
        <x:f>IF(C5&lt;=0,999999,('01 Ввод'!C5*(1+'01 Ввод'!C10)+'01 Ввод'!C13)/C5)</x:f>
        <x:v>1075</x:v>
      </x:c>
      <x:c r="D8" s="16" t="str">
        <x:v>шт.</x:v>
      </x:c>
      <x:c r="E8" s="16" t="str">
        <x:v>Объем, который дает целевой ROMI / возврат маркетинговых инвестиций.</x:v>
      </x:c>
    </x:row>
    <x:row r="9" ht="15" hidden="0" customHeight="1">
      <x:c r="A9" s="16" t="str">
        <x:v>Прогноз</x:v>
      </x:c>
      <x:c r="B9" s="16" t="str">
        <x:v>Маржинальный результат прогноза</x:v>
      </x:c>
      <x:c r="C9" s="23" t="n">
        <x:f>'01 Ввод'!C9*C5</x:f>
        <x:v>2200000</x:v>
      </x:c>
      <x:c r="D9" s="16" t="str">
        <x:v>руб.</x:v>
      </x:c>
      <x:c r="E9" s="16" t="str">
        <x:v>Ожидаемые заказы × маржинальный доход.</x:v>
      </x:c>
    </x:row>
    <x:row r="10" ht="15" hidden="0" customHeight="1">
      <x:c r="A10" s="16" t="str">
        <x:v>Прогноз</x:v>
      </x:c>
      <x:c r="B10" s="16" t="str">
        <x:v>Чистый результат кампании</x:v>
      </x:c>
      <x:c r="C10" s="23" t="n">
        <x:f>C9-C6</x:f>
        <x:v>500000</x:v>
      </x:c>
      <x:c r="D10" s="16" t="str">
        <x:v>руб.</x:v>
      </x:c>
      <x:c r="E10" s="16" t="str">
        <x:v>Маржинальный результат - полная стоимость кампании.</x:v>
      </x:c>
    </x:row>
    <x:row r="11" ht="15" hidden="0" customHeight="1">
      <x:c r="A11" s="16" t="str">
        <x:v>Прогноз</x:v>
      </x:c>
      <x:c r="B11" s="16" t="str">
        <x:v>ROMI / возврат маркетинговых инвестиций</x:v>
      </x:c>
      <x:c r="C11" s="24" t="n">
        <x:f>IFERROR(C10/'01 Ввод'!C5,0)</x:f>
        <x:v>0.3333333333333333</x:v>
      </x:c>
      <x:c r="D11" s="16" t="str">
        <x:v>%</x:v>
      </x:c>
      <x:c r="E11" s="16" t="str">
        <x:v>Чистый результат / рекламный бюджет.</x:v>
      </x:c>
    </x:row>
    <x:row r="12" ht="15" hidden="0" customHeight="1">
      <x:c r="A12" s="16" t="str">
        <x:v>Дельта</x:v>
      </x:c>
      <x:c r="B12" s="16" t="str">
        <x:v>Запас к целевому объему</x:v>
      </x:c>
      <x:c r="C12" s="23" t="n">
        <x:f>'01 Ввод'!C9-C8</x:f>
        <x:v>25</x:v>
      </x:c>
      <x:c r="D12" s="16" t="str">
        <x:v>шт.</x:v>
      </x:c>
      <x:c r="E12" s="16" t="str">
        <x:v>Ожидаемые заказы - целевой порог.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5"/>
      <x:c r="B1" s="5"/>
      <x:c r="C1" s="5"/>
      <x:c r="D1" s="5"/>
      <x:c r="E1" s="5"/>
    </x:row>
    <x:row r="2" ht="15" hidden="0" customHeight="1">
      <x:c r="A2" s="8"/>
      <x:c r="B2" s="8"/>
      <x:c r="C2" s="8"/>
      <x:c r="D2" s="8"/>
      <x:c r="E2" s="8"/>
    </x:row>
    <x:row r="3"/>
    <x:row r="4" ht="15" hidden="0" customHeight="1">
      <x:c r="A4" s="13" t="str">
        <x:v>Сценарий</x:v>
      </x:c>
      <x:c r="B4" s="13" t="str">
        <x:v>Параметр</x:v>
      </x:c>
      <x:c r="C4" s="13" t="str">
        <x:v>Результат</x:v>
      </x:c>
      <x:c r="D4" s="13" t="str">
        <x:v>Дельта / статус</x:v>
      </x:c>
      <x:c r="E4" s="13" t="str">
        <x:v>Вывод</x:v>
      </x:c>
    </x:row>
    <x:row r="5" ht="15" hidden="0" customHeight="1">
      <x:c r="A5" s="16" t="str">
        <x:v>Стрессовый -50%</x:v>
      </x:c>
      <x:c r="B5" s="23" t="n">
        <x:f>'01 Ввод'!C9*0.5</x:f>
        <x:v>550</x:v>
      </x:c>
      <x:c r="C5" s="23" t="n">
        <x:f>B5*'02 Расчет'!C5-'02 Расчет'!C6</x:f>
        <x:v>-600000</x:v>
      </x:c>
      <x:c r="D5" s="24" t="n">
        <x:f>IFERROR(C5/'01 Ввод'!C5,0)</x:f>
        <x:v>-0.4</x:v>
      </x:c>
      <x:c r="E5" s="16" t="str">
        <x:f>IF(D5&gt;='01 Ввод'!C10,"проходит","не проходит")</x:f>
        <x:v>не проходит</x:v>
      </x:c>
    </x:row>
    <x:row r="6" ht="15" hidden="0" customHeight="1">
      <x:c r="A6" s="16" t="str">
        <x:v>Безубыточность</x:v>
      </x:c>
      <x:c r="B6" s="23" t="n">
        <x:f>'02 Расчет'!C7</x:f>
        <x:v>850</x:v>
      </x:c>
      <x:c r="C6" s="23" t="n">
        <x:f>B6*'02 Расчет'!C5-'02 Расчет'!C6</x:f>
        <x:v>0</x:v>
      </x:c>
      <x:c r="D6" s="24" t="n">
        <x:f>IFERROR(C6/'01 Ввод'!C5,0)</x:f>
        <x:v>0</x:v>
      </x:c>
      <x:c r="E6" s="16" t="str">
        <x:f>"минимум без потери"</x:f>
        <x:v>минимум без потери</x:v>
      </x:c>
    </x:row>
    <x:row r="7" ht="15" hidden="0" customHeight="1">
      <x:c r="A7" s="16" t="str">
        <x:v>Целевой ROMI</x:v>
      </x:c>
      <x:c r="B7" s="23" t="n">
        <x:f>'02 Расчет'!C8</x:f>
        <x:v>1075</x:v>
      </x:c>
      <x:c r="C7" s="23" t="n">
        <x:f>B7*'02 Расчет'!C5-'02 Расчет'!C6</x:f>
        <x:v>450000</x:v>
      </x:c>
      <x:c r="D7" s="24" t="n">
        <x:f>IFERROR(C7/'01 Ввод'!C5,0)</x:f>
        <x:v>0.3</x:v>
      </x:c>
      <x:c r="E7" s="16" t="str">
        <x:f>"целевой порог"</x:f>
        <x:v>целевой порог</x:v>
      </x:c>
    </x:row>
    <x:row r="8" ht="15" hidden="0" customHeight="1">
      <x:c r="A8" s="16" t="str">
        <x:v>Прогноз маркетинга</x:v>
      </x:c>
      <x:c r="B8" s="23" t="n">
        <x:f>'01 Ввод'!C9</x:f>
        <x:v>1100</x:v>
      </x:c>
      <x:c r="C8" s="23" t="n">
        <x:f>'02 Расчет'!C10</x:f>
        <x:v>500000</x:v>
      </x:c>
      <x:c r="D8" s="24" t="n">
        <x:f>'02 Расчет'!C11</x:f>
        <x:v>0.3333333333333333</x:v>
      </x:c>
      <x:c r="E8" s="16" t="str">
        <x:f>IF(D8&gt;='01 Ввод'!C10,"проходит","не проходит")</x:f>
        <x:v>проходит</x:v>
      </x:c>
    </x:row>
    <x:row r="9" ht="15" hidden="0" customHeight="1">
      <x:c r="A9" s="16" t="str">
        <x:v>Операционный лимит</x:v>
      </x:c>
      <x:c r="B9" s="23" t="n">
        <x:f>'01 Ввод'!C14</x:f>
        <x:v>1500</x:v>
      </x:c>
      <x:c r="C9" s="23" t="n">
        <x:f>B9*'02 Расчет'!C5-'02 Расчет'!C6</x:f>
        <x:v>1300000</x:v>
      </x:c>
      <x:c r="D9" s="24" t="n">
        <x:f>IFERROR(C9/'01 Ввод'!C5,0)</x:f>
        <x:v>0.8666666666666667</x:v>
      </x:c>
      <x:c r="E9" s="16" t="str">
        <x:f>"верхний предел выполнения"</x:f>
        <x:v>верхний предел выполнения</x:v>
      </x:c>
    </x:row>
    <x:row r="10"/>
    <x:row r="11"/>
    <x:row r="12"/>
    <x:row r="13" ht="15" hidden="0" customHeight="1">
      <x:c r="A13" s="13" t="str">
        <x:v>Параметр сценария</x:v>
      </x:c>
      <x:c r="B13" s="13" t="str">
        <x:v>Результат</x:v>
      </x:c>
    </x:row>
    <x:row r="14" ht="15" hidden="0" customHeight="1">
      <x:c r="A14" s="16" t="str">
        <x:v>Стресс</x:v>
      </x:c>
      <x:c r="B14" s="25" t="n">
        <x:f>C5</x:f>
        <x:v>-600000</x:v>
      </x:c>
    </x:row>
    <x:row r="15" ht="15" hidden="0" customHeight="1">
      <x:c r="A15" s="16" t="str">
        <x:v>Безубыт.</x:v>
      </x:c>
      <x:c r="B15" s="25" t="n">
        <x:f>C6</x:f>
        <x:v>0</x:v>
      </x:c>
    </x:row>
    <x:row r="16" ht="15" hidden="0" customHeight="1">
      <x:c r="A16" s="16" t="str">
        <x:v>Цель</x:v>
      </x:c>
      <x:c r="B16" s="25" t="n">
        <x:f>C7</x:f>
        <x:v>450000</x:v>
      </x:c>
    </x:row>
    <x:row r="17" ht="15" hidden="0" customHeight="1">
      <x:c r="A17" s="16" t="str">
        <x:v>Прогноз</x:v>
      </x:c>
      <x:c r="B17" s="25" t="n">
        <x:f>C8</x:f>
        <x:v>500000</x:v>
      </x:c>
    </x:row>
    <x:row r="18" ht="15" hidden="0" customHeight="1">
      <x:c r="A18" s="16" t="str">
        <x:v>Лимит</x:v>
      </x:c>
      <x:c r="B18" s="25" t="n">
        <x:f>C9</x:f>
        <x:v>1300000</x:v>
      </x:c>
    </x:row>
  </x:sheetData>
  <x:mergeCells>
    <x:mergeCell ref="A1:E1"/>
    <x:mergeCell ref="A2:E2"/>
  </x:mergeCells>
  <x:conditionalFormatting sqref="E5:E9">
    <x:cfRule type="containsText" dxfId="0" priority="1" operator="containsText" text="Нельзя"/>
    <x:cfRule type="containsText" dxfId="1" priority="2" operator="containsText" text="Можно при условиях"/>
    <x:cfRule type="containsText" dxfId="2" priority="3" operator="containsText" text="Можно"/>
    <x:cfRule type="containsText" dxfId="3" priority="4" operator="containsText" text="ОК"/>
    <x:cfRule type="containsText" dxfId="4" priority="5" operator="containsText" text="Провал"/>
    <x:cfRule type="containsText" dxfId="5" priority="6" operator="containsText" text="услов"/>
  </x:conditionalFormatting>
  <x:pageMargins left="0.7" right="0.7" top="0.75" bottom="0.75" header="0.3" footer="0.3"/>
  <x:drawing xmlns:r="http://schemas.openxmlformats.org/officeDocument/2006/relationships" r:id="R2b66a814e491425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5" t="str">
        <x:v>04 Контуры проверки УМ</x:v>
      </x:c>
      <x:c r="B1" s="5" t="str">
        <x:v>04 Контуры проверки УМ</x:v>
      </x:c>
      <x:c r="C1" s="5" t="str">
        <x:v>04 Контуры проверки УМ</x:v>
      </x:c>
      <x:c r="D1" s="5" t="str">
        <x:v>04 Контуры проверки УМ</x:v>
      </x:c>
      <x:c r="E1" s="5" t="str">
        <x:v>04 Контуры проверки УМ</x:v>
      </x:c>
    </x:row>
    <x:row r="2" ht="15" hidden="0" customHeight="1">
      <x:c r="A2" s="8" t="str">
        <x:v>Контуры показывают, где решение проходит расчет, а где требует условия или отказа.</x:v>
      </x:c>
      <x:c r="B2" s="8" t="str">
        <x:v>Контуры показывают, где решение проходит расчет, а где требует условия или отказа.</x:v>
      </x:c>
      <x:c r="C2" s="8" t="str">
        <x:v>Контуры показывают, где решение проходит расчет, а где требует условия или отказа.</x:v>
      </x:c>
      <x:c r="D2" s="8" t="str">
        <x:v>Контуры показывают, где решение проходит расчет, а где требует условия или отказа.</x:v>
      </x:c>
      <x:c r="E2" s="8" t="str">
        <x:v>Контуры показывают, где решение проходит расчет, а где требует условия или отказа.</x:v>
      </x:c>
    </x:row>
    <x:row r="3"/>
    <x:row r="4" ht="15" hidden="0" customHeight="1">
      <x:c r="A4" s="13" t="str">
        <x:v>Контур</x:v>
      </x:c>
      <x:c r="B4" s="13" t="str">
        <x:v>Проверка</x:v>
      </x:c>
      <x:c r="C4" s="13" t="str">
        <x:v>Результат</x:v>
      </x:c>
      <x:c r="D4" s="13" t="str">
        <x:v>Как читать</x:v>
      </x:c>
      <x:c r="E4" s="13" t="str">
        <x:v>Ответственный</x:v>
      </x:c>
    </x:row>
    <x:row r="5" ht="15" hidden="0" customHeight="1">
      <x:c r="A5" s="16" t="str">
        <x:v>Прибыль</x:v>
      </x:c>
      <x:c r="B5" s="16" t="str">
        <x:v>Чистый результат не отрицательный</x:v>
      </x:c>
      <x:c r="C5" s="22" t="str">
        <x:f>IF('02 Расчет'!C10&gt;=0,"ОК","Провал")</x:f>
        <x:v>ОК</x:v>
      </x:c>
      <x:c r="D5" s="16" t="str">
        <x:v>Кампания не должна сжигать маржинальный результат.</x:v>
      </x:c>
      <x:c r="E5" s="16" t="str">
        <x:v>Финансовый директор</x:v>
      </x:c>
    </x:row>
    <x:row r="6" ht="15" hidden="0" customHeight="1">
      <x:c r="A6" s="16" t="str">
        <x:v>Маркетинг</x:v>
      </x:c>
      <x:c r="B6" s="16" t="str">
        <x:v>ROMI проходит целевой порог</x:v>
      </x:c>
      <x:c r="C6" s="22" t="str">
        <x:f>IF('02 Расчет'!C11&gt;='01 Ввод'!C10,"ОК","Провал")</x:f>
        <x:v>ОК</x:v>
      </x:c>
      <x:c r="D6" s="16" t="str">
        <x:v>Фактический возврат должен быть не ниже целевого.</x:v>
      </x:c>
      <x:c r="E6" s="16" t="str">
        <x:v>Маркетинговый директор</x:v>
      </x:c>
    </x:row>
    <x:row r="7" ht="15" hidden="0" customHeight="1">
      <x:c r="A7" s="16" t="str">
        <x:v>Операции</x:v>
      </x:c>
      <x:c r="B7" s="16" t="str">
        <x:v>Объем выполним</x:v>
      </x:c>
      <x:c r="C7" s="22" t="str">
        <x:f>IF('01 Ввод'!C9&lt;='01 Ввод'!C14,"ОК","Провал")</x:f>
        <x:v>ОК</x:v>
      </x:c>
      <x:c r="D7" s="16" t="str">
        <x:v>Компания должна обработать дополнительный объем.</x:v>
      </x:c>
      <x:c r="E7" s="16" t="str">
        <x:v>Операционный директор</x:v>
      </x:c>
    </x:row>
    <x:row r="8" ht="15" hidden="0" customHeight="1">
      <x:c r="A8" s="16" t="str">
        <x:v>Данные</x:v>
      </x:c>
      <x:c r="B8" s="16" t="str">
        <x:v>Конверсия подтверждена</x:v>
      </x:c>
      <x:c r="C8" s="22" t="str">
        <x:f>IF('01 Ввод'!C15="Да","ОК","Провал")</x:f>
        <x:v>ОК</x:v>
      </x:c>
      <x:c r="D8" s="16" t="str">
        <x:v>Без подтверждения конверсии статус не должен быть безусловным.</x:v>
      </x:c>
      <x:c r="E8" s="16" t="str">
        <x:v>Маркетинговый директор</x:v>
      </x:c>
    </x:row>
  </x:sheetData>
  <x:mergeCells>
    <x:mergeCell ref="A1:E1"/>
    <x:mergeCell ref="A2:E2"/>
  </x:mergeCells>
  <x:conditionalFormatting sqref="C5:C8">
    <x:cfRule type="containsText" dxfId="6" priority="1" operator="containsText" text="Нельзя"/>
    <x:cfRule type="containsText" dxfId="7" priority="2" operator="containsText" text="Можно при условиях"/>
    <x:cfRule type="containsText" dxfId="8" priority="3" operator="containsText" text="Можно"/>
    <x:cfRule type="containsText" dxfId="9" priority="4" operator="containsText" text="ОК"/>
    <x:cfRule type="containsText" dxfId="10" priority="5" operator="containsText" text="Провал"/>
    <x:cfRule type="containsText" dxfId="11" priority="6" operator="containsText" text="услов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5" t="str">
        <x:v>05 Статус решения</x:v>
      </x:c>
      <x:c r="B1" s="5" t="str">
        <x:v>05 Статус решения</x:v>
      </x:c>
      <x:c r="C1" s="5" t="str">
        <x:v>05 Статус решения</x:v>
      </x:c>
    </x:row>
    <x:row r="2" ht="15" hidden="0" customHeight="1">
      <x:c r="A2" s="8" t="str">
        <x:v>Статус рассчитывается из порога, сценариев, контуров и подтверждения данных. Статус не вводится вручную.</x:v>
      </x:c>
      <x:c r="B2" s="8" t="str">
        <x:v>Статус рассчитывается из порога, сценариев, контуров и подтверждения данных. Статус не вводится вручную.</x:v>
      </x:c>
      <x:c r="C2" s="8" t="str">
        <x:v>Статус рассчитывается из порога, сценариев, контуров и подтверждения данных. Статус не вводится вручную.</x:v>
      </x:c>
    </x:row>
    <x:row r="3"/>
    <x:row r="4" ht="15" hidden="0" customHeight="1">
      <x:c r="A4" s="13" t="str">
        <x:v>Проверка</x:v>
      </x:c>
      <x:c r="B4" s="13" t="str">
        <x:v>Значение</x:v>
      </x:c>
      <x:c r="C4" s="13" t="str">
        <x:v>Комментарий</x:v>
      </x:c>
    </x:row>
    <x:row r="5" ht="15" hidden="0" customHeight="1">
      <x:c r="A5" s="16" t="str">
        <x:v>Заказы для целевого ROMI</x:v>
      </x:c>
      <x:c r="B5" s="23" t="n">
        <x:f>'02 Расчет'!C8</x:f>
        <x:v>1075</x:v>
      </x:c>
      <x:c r="C5" s="16" t="str">
        <x:v>Минимальный объем для целевого возврата.</x:v>
      </x:c>
    </x:row>
    <x:row r="6" ht="15" hidden="0" customHeight="1">
      <x:c r="A6" s="16" t="str">
        <x:v>Ожидаемые дополнительные заказы</x:v>
      </x:c>
      <x:c r="B6" s="23" t="n">
        <x:f>'01 Ввод'!C9</x:f>
        <x:v>1100</x:v>
      </x:c>
      <x:c r="C6" s="16" t="str">
        <x:v>Прогноз маркетинга.</x:v>
      </x:c>
    </x:row>
    <x:row r="7" ht="15" hidden="0" customHeight="1">
      <x:c r="A7" s="16" t="str">
        <x:v>ROMI прогноза</x:v>
      </x:c>
      <x:c r="B7" s="24" t="n">
        <x:f>'02 Расчет'!C11</x:f>
        <x:v>0.3333333333333333</x:v>
      </x:c>
      <x:c r="C7" s="16" t="str">
        <x:v>Возврат маркетинговых инвестиций.</x:v>
      </x:c>
    </x:row>
    <x:row r="8" ht="15" hidden="0" customHeight="1">
      <x:c r="A8" s="16" t="str">
        <x:v>Операционный лимит</x:v>
      </x:c>
      <x:c r="B8" s="23" t="n">
        <x:f>'01 Ввод'!C14</x:f>
        <x:v>1500</x:v>
      </x:c>
      <x:c r="C8" s="16" t="str">
        <x:v>Возможность выполнить объем.</x:v>
      </x:c>
    </x:row>
    <x:row r="9" ht="15" hidden="0" customHeight="1">
      <x:c r="A9" s="16" t="str">
        <x:v>Данные подтверждены</x:v>
      </x:c>
      <x:c r="B9" s="22" t="str">
        <x:f>'01 Ввод'!C15</x:f>
        <x:v>Да</x:v>
      </x:c>
      <x:c r="C9" s="16" t="str">
        <x:v>Качество данных.</x:v>
      </x:c>
    </x:row>
    <x:row r="10" ht="15" hidden="0" customHeight="1">
      <x:c r="A10" s="28" t="str">
        <x:v>Статус решения</x:v>
      </x:c>
      <x:c r="B10" s="28" t="str">
        <x:f>IF(AND(B6&gt;=B5,B7&gt;='01 Ввод'!C10,B6&lt;=B8,B9="Да"),"Можно",IF(AND(B6&gt;='02 Расчет'!C7,B6&lt;=B8),"Можно при условиях","Нельзя в текущей модели"))</x:f>
        <x:v>Можно</x:v>
      </x:c>
      <x:c r="C10" s="28" t="str">
        <x:v>Итоговый вердикт УМ.</x:v>
      </x:c>
    </x:row>
    <x:row r="11"/>
    <x:row r="12"/>
    <x:row r="13" ht="15" hidden="0" customHeight="1">
      <x:c r="A13" s="16" t="str">
        <x:v>Светофор</x:v>
      </x:c>
      <x:c r="B13" s="16"/>
    </x:row>
    <x:row r="14" ht="15" hidden="0" customHeight="1">
      <x:c r="A14" s="27" t="str">
        <x:v>Можно</x:v>
      </x:c>
      <x:c r="B14" s="27" t="str">
        <x:v>зеленый: расчет проходит</x:v>
      </x:c>
    </x:row>
    <x:row r="15" ht="26.399999618530273" hidden="0" customHeight="1">
      <x:c r="A15" s="29" t="str">
        <x:v>Можно при условиях</x:v>
      </x:c>
      <x:c r="B15" s="29" t="str">
        <x:v>желтый: запуск только при числовых условиях</x:v>
      </x:c>
    </x:row>
    <x:row r="16" ht="26.399999618530273" hidden="0" customHeight="1">
      <x:c r="A16" s="31" t="str">
        <x:v>Нельзя в текущей модели</x:v>
      </x:c>
      <x:c r="B16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5" t="str">
        <x:v>06 Управленческий ответ</x:v>
      </x:c>
      <x:c r="B1" s="5" t="str">
        <x:v>06 Управленческий ответ</x:v>
      </x:c>
    </x:row>
    <x:row r="2" ht="15" hidden="0" customHeight="1">
      <x:c r="A2" s="8" t="str">
        <x:v>Ответ формируется в управленческом языке: что разрешить, на каких условиях, что сказать адресату.</x:v>
      </x:c>
      <x:c r="B2" s="8" t="str">
        <x:v>Ответ формируется в управленческом языке: что разрешить, на каких условиях, что сказать адресату.</x:v>
      </x:c>
    </x:row>
    <x:row r="3"/>
    <x:row r="4" ht="15" hidden="0" customHeight="1">
      <x:c r="A4" s="13" t="str">
        <x:v>Блок ответа</x:v>
      </x:c>
      <x:c r="B4" s="13" t="str">
        <x:v>Текст</x:v>
      </x:c>
    </x:row>
    <x:row r="5" ht="26.399999618530273" hidden="0" customHeight="1">
      <x:c r="A5" s="27" t="str">
        <x:v>Короткий ответ</x:v>
      </x:c>
      <x:c r="B5" s="27" t="str">
        <x:f>"Рекламный бюджет "&amp;TEXT('01 Ввод'!C5,"#,##0")&amp;" руб. можно запускать, если кампания дает не менее "&amp;TEXT('02 Расчет'!C8,"#,##0")&amp;" дополнительных заказов и ROMI / возврат маркетинговых инвестиций не ниже "&amp;TEXT('01 Ввод'!C10,"0%")&amp;"."</x:f>
        <x:v>Рекламный бюджет 1,500,000 руб. можно запускать, если кампания дает не менее 1,075 дополнительных заказов и ROMI / возврат маркетинговых инвестиций не ниже 30%.</x:v>
      </x:c>
    </x:row>
    <x:row r="6" ht="15" hidden="0" customHeight="1">
      <x:c r="A6" s="29" t="str">
        <x:v>Условия</x:v>
      </x:c>
      <x:c r="B6" s="29" t="str">
        <x:f>"Условия запуска: подтвержденная конверсия, операционный лимит не ниже "&amp;TEXT('01 Ввод'!C14,"#,##0")&amp;" заказов, первый контроль "&amp;TEXT(DAY('01 Ввод'!C16),"00")&amp;"."&amp;TEXT(MONTH('01 Ввод'!C16),"00")&amp;"."&amp;YEAR('01 Ввод'!C16)&amp;"."</x:f>
        <x:v>Условия запуска: подтвержденная конверсия, операционный лимит не ниже 1,500 заказов, первый контроль 01.08.2026.</x:v>
      </x:c>
    </x:row>
    <x:row r="7" ht="26.399999618530273" hidden="0" customHeight="1">
      <x:c r="A7" s="29" t="str">
        <x:v>Пояснение</x:v>
      </x:c>
      <x:c r="B7" s="22" t="str">
        <x:f>"УМ переводит рекламный бюджет в требуемый объем заказов и проверяет маржинальный результат, а не охваты и обещания канала."</x:f>
        <x:v>УМ переводит рекламный бюджет в требуемый объем заказов и проверяет маржинальный результат, а не охваты и обещания канала.</x:v>
      </x:c>
    </x:row>
    <x:row r="8" ht="15" hidden="0" customHeight="1">
      <x:c r="A8" s="29" t="str">
        <x:v>Если условия не принимаются</x:v>
      </x:c>
      <x:c r="B8" s="29" t="str">
        <x:f>IF('05 Статус'!B10="Нельзя в текущей модели","Если команда не подтверждает объем не ниже "&amp;TEXT('02 Расчет'!C8,"#,##0")&amp;" заказов, бюджет не запускается.","Если факт заказов ниже порога, бюджет останавливается или пересобирается.")</x:f>
        <x:v>Если факт заказов ниже порога, бюджет останавливается или пересобирается.</x:v>
      </x:c>
    </x:row>
    <x:row r="9" ht="15" hidden="0" customHeight="1">
      <x:c r="A9" s="16" t="str">
        <x:v>Что нельзя говорить</x:v>
      </x:c>
      <x:c r="B9" s="16" t="str">
        <x:v>Не оценивать рекламу только по охватам, кликам или выручке без маржинального результата.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5" t="str">
        <x:v>07 Контроль исполнения</x:v>
      </x:c>
      <x:c r="B1" s="5" t="str">
        <x:v>07 Контроль исполнения</x:v>
      </x:c>
      <x:c r="C1" s="5" t="str">
        <x:v>07 Контроль исполнения</x:v>
      </x:c>
      <x:c r="D1" s="5" t="str">
        <x:v>07 Контроль исполнения</x:v>
      </x:c>
      <x:c r="E1" s="5" t="str">
        <x:v>07 Контроль исполнения</x:v>
      </x:c>
      <x:c r="F1" s="5" t="str">
        <x:v>07 Контроль исполнения</x:v>
      </x:c>
    </x:row>
    <x:row r="2" ht="15" hidden="0" customHeight="1">
      <x:c r="A2" s="8" t="str">
        <x:v>Контроль фиксирует показатель, порог, факт, статус, действие при отклонении и ответственного.</x:v>
      </x:c>
      <x:c r="B2" s="8" t="str">
        <x:v>Контроль фиксирует показатель, порог, факт, статус, действие при отклонении и ответственного.</x:v>
      </x:c>
      <x:c r="C2" s="8" t="str">
        <x:v>Контроль фиксирует показатель, порог, факт, статус, действие при отклонении и ответственного.</x:v>
      </x:c>
      <x:c r="D2" s="8" t="str">
        <x:v>Контроль фиксирует показатель, порог, факт, статус, действие при отклонении и ответственного.</x:v>
      </x:c>
      <x:c r="E2" s="8" t="str">
        <x:v>Контроль фиксирует показатель, порог, факт, статус, действие при отклонении и ответственного.</x:v>
      </x:c>
      <x:c r="F2" s="8" t="str">
        <x:v>Контроль фиксирует показатель, порог, факт, статус, действие при отклонении и ответственного.</x:v>
      </x:c>
    </x:row>
    <x:row r="3"/>
    <x:row r="4" ht="15" hidden="0" customHeight="1">
      <x:c r="A4" s="13" t="str">
        <x:v>Показатель контроля</x:v>
      </x:c>
      <x:c r="B4" s="13" t="str">
        <x:v>Порог</x:v>
      </x:c>
      <x:c r="C4" s="13" t="str">
        <x:v>Факт</x:v>
      </x:c>
      <x:c r="D4" s="13" t="str">
        <x:v>Статус</x:v>
      </x:c>
      <x:c r="E4" s="13" t="str">
        <x:v>Что делать при отклонении</x:v>
      </x:c>
      <x:c r="F4" s="13" t="str">
        <x:v>Ответственный</x:v>
      </x:c>
    </x:row>
    <x:row r="5" ht="15" hidden="0" customHeight="1">
      <x:c r="A5" s="16" t="str">
        <x:v>Дополнительные заказы</x:v>
      </x:c>
      <x:c r="B5" s="23" t="n">
        <x:f>'02 Расчет'!C8</x:f>
        <x:v>1075</x:v>
      </x:c>
      <x:c r="C5" s="19"/>
      <x:c r="D5" s="16" t="str">
        <x:f>IF(C5="","ждет факта",IF(C5&gt;=B5,"ОК","Отклонение"))</x:f>
        <x:v>ждет факта</x:v>
      </x:c>
      <x:c r="E5" s="16" t="str">
        <x:v>Остановить или пересобрать кампанию.</x:v>
      </x:c>
      <x:c r="F5" s="16" t="str">
        <x:v>Маркетинговый директор</x:v>
      </x:c>
    </x:row>
    <x:row r="6" ht="26.399999618530273" hidden="0" customHeight="1">
      <x:c r="A6" s="16" t="str">
        <x:v>ROMI / возврат маркетинговых инвестиций</x:v>
      </x:c>
      <x:c r="B6" s="24" t="n">
        <x:f>'01 Ввод'!C10</x:f>
        <x:v>0.3</x:v>
      </x:c>
      <x:c r="C6" s="20"/>
      <x:c r="D6" s="16" t="str">
        <x:f>IF(C6="","ждет факта",IF(C6&gt;=B6,"ОК","Отклонение"))</x:f>
        <x:v>ждет факта</x:v>
      </x:c>
      <x:c r="E6" s="16" t="str">
        <x:v>Сократить бюджет или сменить канал.</x:v>
      </x:c>
      <x:c r="F6" s="16" t="str">
        <x:v>Маркетинговый директор</x:v>
      </x:c>
    </x:row>
    <x:row r="7" ht="15" hidden="0" customHeight="1">
      <x:c r="A7" s="16" t="str">
        <x:v>Чистый результат кампании</x:v>
      </x:c>
      <x:c r="B7" s="23" t="n">
        <x:f>0</x:f>
        <x:v>0</x:v>
      </x:c>
      <x:c r="C7" s="19"/>
      <x:c r="D7" s="16" t="str">
        <x:f>IF(C7="","ждет факта",IF(C7&gt;=B7,"ОК","Отклонение"))</x:f>
        <x:v>ждет факта</x:v>
      </x:c>
      <x:c r="E7" s="16" t="str">
        <x:v>Не масштабировать кампанию.</x:v>
      </x:c>
      <x:c r="F7" s="16" t="str">
        <x:v>Финансовый директор</x:v>
      </x:c>
    </x:row>
    <x:row r="8" ht="26.399999618530273" hidden="0" customHeight="1">
      <x:c r="A8" s="16" t="str">
        <x:v>Дата контроля</x:v>
      </x:c>
      <x:c r="B8" s="33" t="n">
        <x:f>'01 Ввод'!C16</x:f>
        <x:v>46235</x:v>
      </x:c>
      <x:c r="C8" s="21"/>
      <x:c r="D8" s="16" t="str">
        <x:f>IF(C8="","ждет факта",IF(C8&lt;=B8,"ОК","Отклонение"))</x:f>
        <x:v>ждет факта</x:v>
      </x:c>
      <x:c r="E8" s="16" t="str">
        <x:v>Провести контрольную точку.</x:v>
      </x:c>
      <x:c r="F8" s="16" t="str">
        <x:v>Маркетинговый директор + Финансовый директор</x:v>
      </x:c>
    </x:row>
  </x:sheetData>
  <x:mergeCells>
    <x:mergeCell ref="A1:F1"/>
    <x:mergeCell ref="A2:F2"/>
  </x:mergeCells>
  <x:conditionalFormatting sqref="D5:D8">
    <x:cfRule type="containsText" dxfId="12" priority="1" operator="containsText" text="Нельзя"/>
    <x:cfRule type="containsText" dxfId="13" priority="2" operator="containsText" text="Можно при условиях"/>
    <x:cfRule type="containsText" dxfId="14" priority="3" operator="containsText" text="Можно"/>
    <x:cfRule type="containsText" dxfId="15" priority="4" operator="containsText" text="ОК"/>
    <x:cfRule type="containsText" dxfId="16" priority="5" operator="containsText" text="Провал"/>
    <x:cfRule type="containsText" dxfId="17" priority="6" operator="containsText" text="услов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  <x:col min="3" max="3" width="62" hidden="0" customWidth="1"/>
  </x:cols>
  <x:sheetData>
    <x:row r="1" ht="18" hidden="0" customHeight="1">
      <x:c r="A1" s="5" t="str">
        <x:v>08 Проверка модели</x:v>
      </x:c>
      <x:c r="B1" s="5" t="str">
        <x:v>08 Проверка модели</x:v>
      </x:c>
      <x:c r="C1" s="5" t="str">
        <x:v>08 Проверка модели</x:v>
      </x:c>
    </x:row>
    <x:row r="2" ht="15" hidden="0" customHeight="1">
      <x:c r="A2" s="8" t="str">
        <x:v>Проверка подтверждает, что решатор является расчетной моделью, а не статическим примером.</x:v>
      </x:c>
      <x:c r="B2" s="8" t="str">
        <x:v>Проверка подтверждает, что решатор является расчетной моделью, а не статическим примером.</x:v>
      </x:c>
      <x:c r="C2" s="8" t="str">
        <x:v>Проверка подтверждает, что решатор является расчетной моделью, а не статическим примером.</x:v>
      </x:c>
    </x:row>
    <x:row r="3"/>
    <x:row r="4" ht="15" hidden="0" customHeight="1">
      <x:c r="A4" s="13" t="str">
        <x:v>Проверка</x:v>
      </x:c>
      <x:c r="B4" s="13" t="str">
        <x:v>Результат</x:v>
      </x:c>
      <x:c r="C4" s="13" t="str">
        <x:v>Комментарий</x:v>
      </x:c>
    </x:row>
    <x:row r="5" ht="15" hidden="0" customHeight="1">
      <x:c r="A5" s="16" t="str">
        <x:v>Статус рассчитан</x:v>
      </x:c>
      <x:c r="B5" s="22" t="str">
        <x:f>IF('05 Статус'!B10&lt;&gt;"","PASS","FAIL")</x:f>
        <x:v>PASS</x:v>
      </x:c>
      <x:c r="C5" s="16" t="str">
        <x:v>Статус не должен быть пустым.</x:v>
      </x:c>
    </x:row>
    <x:row r="6" ht="15" hidden="0" customHeight="1">
      <x:c r="A6" s="16" t="str">
        <x:v>Ключевой порог рассчитан</x:v>
      </x:c>
      <x:c r="B6" s="22" t="str">
        <x:f>IF(ISNUMBER('02 Расчет'!C8),"PASS","FAIL")</x:f>
        <x:v>PASS</x:v>
      </x:c>
      <x:c r="C6" s="16" t="str">
        <x:v>Главный порог должен быть числом.</x:v>
      </x:c>
    </x:row>
    <x:row r="7" ht="15" hidden="0" customHeight="1">
      <x:c r="A7" s="16" t="str">
        <x:v>Ответ сформирован</x:v>
      </x:c>
      <x:c r="B7" s="22" t="str">
        <x:f>IF('06 Ответ'!B5&lt;&gt;"","PASS","FAIL")</x:f>
        <x:v>PASS</x:v>
      </x:c>
      <x:c r="C7" s="16" t="str">
        <x:v>Управленческий ответ должен быть текстом.</x:v>
      </x:c>
    </x:row>
    <x:row r="8" ht="15" hidden="0" customHeight="1">
      <x:c r="A8" s="16" t="str">
        <x:v>Данные подтверждены или явно ограничены</x:v>
      </x:c>
      <x:c r="B8" s="22" t="str">
        <x:f>IF('01 Ввод'!C15="Да","PASS","FAIL")</x:f>
        <x:v>PASS</x:v>
      </x:c>
      <x:c r="C8" s="16" t="str">
        <x:v>Качество данных влияет на статус.</x:v>
      </x:c>
    </x:row>
    <x:row r="9" ht="15" hidden="0" customHeight="1">
      <x:c r="A9" s="16" t="str">
        <x:v>Нет отрицательной логики</x:v>
      </x:c>
      <x:c r="B9" s="22" t="str">
        <x:f>IF('02 Расчет'!C5&gt;0,"PASS","FAIL")</x:f>
        <x:v>PASS</x:v>
      </x:c>
      <x:c r="C9" s="16" t="str">
        <x:v>Порог и результат должны быть управленчески интерпретируемы.</x:v>
      </x:c>
    </x:row>
    <x:row r="10" ht="15" hidden="0" customHeight="1">
      <x:c r="A10" s="16" t="str">
        <x:v>Модель готова к проверке</x:v>
      </x:c>
      <x:c r="B10" s="22" t="str">
        <x:f>IF(COUNTIF(B5:B9,"FAIL")=0,"PASS","FAIL")</x:f>
        <x:v>PASS</x:v>
      </x:c>
      <x:c r="C10" s="16" t="str">
        <x:v>Если все PASS, файл можно тестировать вручную.</x:v>
      </x:c>
    </x:row>
  </x:sheetData>
  <x:mergeCells>
    <x:mergeCell ref="A1:C1"/>
    <x:mergeCell ref="A2:C2"/>
  </x:mergeCells>
  <x:conditionalFormatting sqref="B5:B10">
    <x:cfRule type="containsText" dxfId="18" priority="1" operator="containsText" text="Нельзя"/>
    <x:cfRule type="containsText" dxfId="19" priority="2" operator="containsText" text="Можно при условиях"/>
    <x:cfRule type="containsText" dxfId="20" priority="3" operator="containsText" text="Можно"/>
    <x:cfRule type="containsText" dxfId="21" priority="4" operator="containsText" text="ОК"/>
    <x:cfRule type="containsText" dxfId="22" priority="5" operator="containsText" text="Провал"/>
    <x:cfRule type="containsText" dxfId="23" priority="6" operator="containsText" text="услов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74" t="str">
        <x:v>00 Каталог решаторов УМ</x:v>
      </x:c>
      <x:c r="B1" s="74" t="str">
        <x:v>00 Каталог решаторов УМ</x:v>
      </x:c>
      <x:c r="C1" s="74" t="str">
        <x:v>00 Каталог решаторов УМ</x:v>
      </x:c>
      <x:c r="D1" s="74" t="str">
        <x:v>00 Каталог решаторов УМ</x:v>
      </x:c>
      <x:c r="E1" s="74" t="str">
        <x:v>00 Каталог решаторов УМ</x:v>
      </x:c>
    </x:row>
    <x:row r="2" ht="15" hidden="0" customHeight="1">
      <x:c r="A2" s="76" t="str">
        <x:v>Навигационный лист: полный каталог типовых решаторов УМ / Управленческой математики и статус текущего файла.</x:v>
      </x:c>
      <x:c r="B2" s="76" t="str">
        <x:v>Навигационный лист: полный каталог типовых решаторов УМ / Управленческой математики и статус текущего файла.</x:v>
      </x:c>
      <x:c r="C2" s="76" t="str">
        <x:v>Навигационный лист: полный каталог типовых решаторов УМ / Управленческой математики и статус текущего файла.</x:v>
      </x:c>
      <x:c r="D2" s="76" t="str">
        <x:v>Навигационный лист: полный каталог типовых решаторов УМ / Управленческой математики и статус текущего файла.</x:v>
      </x:c>
      <x:c r="E2" s="7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81" t="str">
        <x:v>№</x:v>
      </x:c>
      <x:c r="B4" s="81" t="str">
        <x:v>Группа задач</x:v>
      </x:c>
      <x:c r="C4" s="81" t="str">
        <x:v>Название решатора</x:v>
      </x:c>
      <x:c r="D4" s="81" t="str">
        <x:v>Что показывает</x:v>
      </x:c>
      <x:c r="E4" s="81" t="str">
        <x:v>Статус</x:v>
      </x:c>
    </x:row>
    <x:row r="5" ht="15" hidden="0" customHeight="1">
      <x:c r="A5" s="82" t="n">
        <x:v>1</x:v>
      </x:c>
      <x:c r="B5" s="82" t="str">
        <x:v>Коммерческие условия</x:v>
      </x:c>
      <x:c r="C5" s="82" t="str">
        <x:v>Скидка и отсрочка клиента</x:v>
      </x:c>
      <x:c r="D5" s="82" t="str">
        <x:v>Какой рост закупки нужен, чтобы скидка и отсрочка не ухудшили результат.</x:v>
      </x:c>
      <x:c r="E5" s="82" t="str">
        <x:v>Создан</x:v>
      </x:c>
    </x:row>
    <x:row r="6" ht="15" hidden="0" customHeight="1">
      <x:c r="A6" s="82" t="n">
        <x:v>2</x:v>
      </x:c>
      <x:c r="B6" s="82" t="str">
        <x:v>Коммерческие условия</x:v>
      </x:c>
      <x:c r="C6" s="82" t="str">
        <x:v>Минимальный объем для спецусловий</x:v>
      </x:c>
      <x:c r="D6" s="82" t="str">
        <x:v>При каком объеме можно дать цену, бонус, отсрочку или индивидуальные условия.</x:v>
      </x:c>
      <x:c r="E6" s="82" t="str">
        <x:v>Создан</x:v>
      </x:c>
    </x:row>
    <x:row r="7" ht="15" hidden="0" customHeight="1">
      <x:c r="A7" s="82" t="n">
        <x:v>3</x:v>
      </x:c>
      <x:c r="B7" s="82" t="str">
        <x:v>Коммерческие условия</x:v>
      </x:c>
      <x:c r="C7" s="82" t="str">
        <x:v>Цена сделки после всех условий</x:v>
      </x:c>
      <x:c r="D7" s="82" t="str">
        <x:v>Реальную прибыльность клиента после скидок, бонусов, логистики и отсрочки.</x:v>
      </x:c>
      <x:c r="E7" s="82" t="str">
        <x:v>Создан</x:v>
      </x:c>
    </x:row>
    <x:row r="8" ht="15" hidden="0" customHeight="1">
      <x:c r="A8" s="85" t="n">
        <x:v>4</x:v>
      </x:c>
      <x:c r="B8" s="85" t="str">
        <x:v>Маркетинг и каналы</x:v>
      </x:c>
      <x:c r="C8" s="85" t="str">
        <x:v>Рекламный бюджет и ROMI / возврат маркетинговых инвестиций</x:v>
      </x:c>
      <x:c r="D8" s="85" t="str">
        <x:v>Какой объем продаж нужен, чтобы рекламный бюджет окупился.</x:v>
      </x:c>
      <x:c r="E8" s="85" t="str">
        <x:v>Текущий файл</x:v>
      </x:c>
    </x:row>
    <x:row r="9" ht="15" hidden="0" customHeight="1">
      <x:c r="A9" s="82" t="n">
        <x:v>5</x:v>
      </x:c>
      <x:c r="B9" s="82" t="str">
        <x:v>Маркетинг и каналы</x:v>
      </x:c>
      <x:c r="C9" s="82" t="str">
        <x:v>Промо-акция без потери прибыли</x:v>
      </x:c>
      <x:c r="D9" s="82" t="str">
        <x:v>Какой рост продаж должен компенсировать скидку, промо и дополнительные расходы.</x:v>
      </x:c>
      <x:c r="E9" s="82" t="str">
        <x:v>Создан</x:v>
      </x:c>
    </x:row>
    <x:row r="10" ht="15" hidden="0" customHeight="1">
      <x:c r="A10" s="82" t="n">
        <x:v>6</x:v>
      </x:c>
      <x:c r="B10" s="82" t="str">
        <x:v>Маркетинг и каналы</x:v>
      </x:c>
      <x:c r="C10" s="82" t="str">
        <x:v>Канал продаж: выгодно или нет</x:v>
      </x:c>
      <x:c r="D10" s="82" t="str">
        <x:v>Чистый результат канала после комиссии, логистики, возвратов и налогового контура.</x:v>
      </x:c>
      <x:c r="E10" s="82" t="str">
        <x:v>Создан</x:v>
      </x:c>
    </x:row>
    <x:row r="11" ht="15" hidden="0" customHeight="1">
      <x:c r="A11" s="82" t="n">
        <x:v>7</x:v>
      </x:c>
      <x:c r="B11" s="82" t="str">
        <x:v>Маркетплейсы</x:v>
      </x:c>
      <x:c r="C11" s="82" t="str">
        <x:v>Маркетплейс: цена, комиссия, логистика</x:v>
      </x:c>
      <x:c r="D11" s="82" t="str">
        <x:v>Реальную маржу SKU / товарной позиции на маркетплейсе.</x:v>
      </x:c>
      <x:c r="E11" s="82" t="str">
        <x:v>Создан</x:v>
      </x:c>
    </x:row>
    <x:row r="12" ht="15" hidden="0" customHeight="1">
      <x:c r="A12" s="82" t="n">
        <x:v>8</x:v>
      </x:c>
      <x:c r="B12" s="82" t="str">
        <x:v>Маркетплейсы</x:v>
      </x:c>
      <x:c r="C12" s="82" t="str">
        <x:v>Участие в акции маркетплейса</x:v>
      </x:c>
      <x:c r="D12" s="82" t="str">
        <x:v>Можно ли входить в акцию и какой рост продаж нужен для сохранения результата.</x:v>
      </x:c>
      <x:c r="E12" s="82" t="str">
        <x:v>Создан</x:v>
      </x:c>
    </x:row>
    <x:row r="13" ht="15" hidden="0" customHeight="1">
      <x:c r="A13" s="82" t="n">
        <x:v>9</x:v>
      </x:c>
      <x:c r="B13" s="82" t="str">
        <x:v>Ассортимент и продукт</x:v>
      </x:c>
      <x:c r="C13" s="82" t="str">
        <x:v>SKU: оставить, поднять цену или убрать</x:v>
      </x:c>
      <x:c r="D13" s="82" t="str">
        <x:v>Какие товарные позиции создают результат, а какие съедают деньги.</x:v>
      </x:c>
      <x:c r="E13" s="82" t="str">
        <x:v>Создан</x:v>
      </x:c>
    </x:row>
    <x:row r="14" ht="15" hidden="0" customHeight="1">
      <x:c r="A14" s="82" t="n">
        <x:v>10</x:v>
      </x:c>
      <x:c r="B14" s="82" t="str">
        <x:v>Ассортимент и продукт</x:v>
      </x:c>
      <x:c r="C14" s="82" t="str">
        <x:v>Новый продукт: точка допустимого запуска</x:v>
      </x:c>
      <x:c r="D14" s="82" t="str">
        <x:v>Минимальный объем, цена и маржа для запуска продукта.</x:v>
      </x:c>
      <x:c r="E14" s="82" t="str">
        <x:v>Создан</x:v>
      </x:c>
    </x:row>
    <x:row r="15" ht="15" hidden="0" customHeight="1">
      <x:c r="A15" s="82" t="n">
        <x:v>11</x:v>
      </x:c>
      <x:c r="B15" s="82" t="str">
        <x:v>Операции и логистика</x:v>
      </x:c>
      <x:c r="C15" s="82" t="str">
        <x:v>Запас и оборачиваемость</x:v>
      </x:c>
      <x:c r="D15" s="82" t="str">
        <x:v>Сколько денег замораживает запас и где начинается лишняя складская нагрузка.</x:v>
      </x:c>
      <x:c r="E15" s="82" t="str">
        <x:v>Создан</x:v>
      </x:c>
    </x:row>
    <x:row r="16" ht="15" hidden="0" customHeight="1">
      <x:c r="A16" s="82" t="n">
        <x:v>12</x:v>
      </x:c>
      <x:c r="B16" s="82" t="str">
        <x:v>Операции и логистика</x:v>
      </x:c>
      <x:c r="C16" s="82" t="str">
        <x:v>Производственная партия</x:v>
      </x:c>
      <x:c r="D16" s="82" t="str">
        <x:v>При каком объеме партия покрывает себестоимость, брак, логистику и операционные ограничения.</x:v>
      </x:c>
      <x:c r="E16" s="82" t="str">
        <x:v>Создан</x:v>
      </x:c>
    </x:row>
    <x:row r="17" ht="15" hidden="0" customHeight="1">
      <x:c r="A17" s="82" t="n">
        <x:v>13</x:v>
      </x:c>
      <x:c r="B17" s="82" t="str">
        <x:v>Операции и логистика</x:v>
      </x:c>
      <x:c r="C17" s="82" t="str">
        <x:v>SLA / уровень сервиса и цена выполнения</x:v>
      </x:c>
      <x:c r="D17" s="82" t="str">
        <x:v>Сколько стоит повышенный уровень сервиса и можно ли его обещать клиенту.</x:v>
      </x:c>
      <x:c r="E17" s="82" t="str">
        <x:v>Создан</x:v>
      </x:c>
    </x:row>
    <x:row r="18" ht="15" hidden="0" customHeight="1">
      <x:c r="A18" s="82" t="n">
        <x:v>14</x:v>
      </x:c>
      <x:c r="B18" s="82" t="str">
        <x:v>Финансы и деньги</x:v>
      </x:c>
      <x:c r="C18" s="82" t="str">
        <x:v>Денежный разрыв по решению</x:v>
      </x:c>
      <x:c r="D18" s="82" t="str">
        <x:v>Сколько денег нужно до поступления оплаты и выдерживает ли компания кассовый контур.</x:v>
      </x:c>
      <x:c r="E18" s="82" t="str">
        <x:v>Создан</x:v>
      </x:c>
    </x:row>
    <x:row r="19" ht="15" hidden="0" customHeight="1">
      <x:c r="A19" s="82" t="n">
        <x:v>15</x:v>
      </x:c>
      <x:c r="B19" s="82" t="str">
        <x:v>Финансы и деньги</x:v>
      </x:c>
      <x:c r="C19" s="82" t="str">
        <x:v>НДС и налоговый контур при ОСНО</x:v>
      </x:c>
      <x:c r="D19" s="82" t="str">
        <x:v>Как налоговый режим влияет на чистый результат и денежный поток.</x:v>
      </x:c>
      <x:c r="E19" s="82" t="str">
        <x:v>Создан</x:v>
      </x:c>
    </x:row>
    <x:row r="20" ht="15" hidden="0" customHeight="1">
      <x:c r="A20" s="82" t="n">
        <x:v>16</x:v>
      </x:c>
      <x:c r="B20" s="82" t="str">
        <x:v>Финансы и деньги</x:v>
      </x:c>
      <x:c r="C20" s="82" t="str">
        <x:v>ROI / возврат инвестиций и срок окупаемости</x:v>
      </x:c>
      <x:c r="D20" s="82" t="str">
        <x:v>Окупается ли вложение и при каких сценариях оно становится недопустимым.</x:v>
      </x:c>
      <x:c r="E20" s="82" t="str">
        <x:v>Создан</x:v>
      </x:c>
    </x:row>
    <x:row r="21" ht="15" hidden="0" customHeight="1">
      <x:c r="A21" s="82" t="n">
        <x:v>17</x:v>
      </x:c>
      <x:c r="B21" s="82" t="str">
        <x:v>Специальные решения</x:v>
      </x:c>
      <x:c r="C21" s="82" t="str">
        <x:v>TCO / совокупная стоимость владения проекта</x:v>
      </x:c>
      <x:c r="D21" s="82" t="str">
        <x:v>Полную стоимость решения: покупка, внедрение, поддержка, люди, риски.</x:v>
      </x:c>
      <x:c r="E21" s="82" t="str">
        <x:v>Создан</x:v>
      </x:c>
    </x:row>
    <x:row r="22" ht="15" hidden="0" customHeight="1">
      <x:c r="A22" s="82" t="n">
        <x:v>18</x:v>
      </x:c>
      <x:c r="B22" s="82" t="str">
        <x:v>Специальные решения</x:v>
      </x:c>
      <x:c r="C22" s="82" t="str">
        <x:v>Найм / подрядчик / автоматизация</x:v>
      </x:c>
      <x:c r="D22" s="82" t="str">
        <x:v>Что выгоднее: человек, подрядчик, автоматизация или отказ от инициативы.</x:v>
      </x:c>
      <x:c r="E22" s="82" t="str">
        <x:v>Создан</x:v>
      </x:c>
    </x:row>
    <x:row r="23"/>
    <x:row r="24" ht="15" hidden="0" customHeight="1">
      <x:c r="A24"/>
      <x:c r="B24"/>
      <x:c r="C24"/>
      <x:c r="D24"/>
      <x:c r="E24"/>
    </x:row>
    <x:row r="25" ht="15" hidden="0" customHeight="1">
      <x:c r="A25"/>
      <x:c r="B25"/>
      <x:c r="C25"/>
      <x:c r="D25"/>
      <x:c r="E25"/>
    </x:row>
    <x:row r="26" ht="15" hidden="0" customHeight="1">
      <x:c r="A26"/>
      <x:c r="B26"/>
      <x:c r="C26"/>
      <x:c r="D26"/>
      <x:c r="E26"/>
    </x:row>
  </x:sheetData>
  <x:mergeCells>
    <x:mergeCell ref="A1:E1"/>
    <x:mergeCell ref="A2:E2"/>
    <x:mergeCell ref="A24:E24"/>
    <x:mergeCell ref="A25:E25"/>
    <x:mergeCell ref="A26:E26"/>
  </x:mergeCells>
  <x:pageMargins left="0.7" right="0.7" top="0.75" bottom="0.75" header="0.3" footer="0.3"/>
</x:worksheet>
</file>