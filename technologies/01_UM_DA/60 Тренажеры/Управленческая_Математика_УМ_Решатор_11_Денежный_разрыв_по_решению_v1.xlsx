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2bebaf99b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Ввод" sheetId="1" r:id="R9b1b11672ff140d8"/>
    <x:sheet xmlns:r="http://schemas.openxmlformats.org/officeDocument/2006/relationships" name="02 Расчет" sheetId="2" r:id="Rf1477a3ce5fd457f"/>
    <x:sheet xmlns:r="http://schemas.openxmlformats.org/officeDocument/2006/relationships" name="03 Сценарии" sheetId="3" r:id="R7d67f0edcc7f4436"/>
    <x:sheet xmlns:r="http://schemas.openxmlformats.org/officeDocument/2006/relationships" name="04 Контуры" sheetId="4" r:id="Rc4dd0f64075445b9"/>
    <x:sheet xmlns:r="http://schemas.openxmlformats.org/officeDocument/2006/relationships" name="05 Статус" sheetId="5" r:id="R2b8c1a0016834b8b"/>
    <x:sheet xmlns:r="http://schemas.openxmlformats.org/officeDocument/2006/relationships" name="06 Ответ" sheetId="6" r:id="R77c6a9f5e687429a"/>
    <x:sheet xmlns:r="http://schemas.openxmlformats.org/officeDocument/2006/relationships" name="07 Контроль" sheetId="7" r:id="Ra8696039a16f490c"/>
    <x:sheet xmlns:r="http://schemas.openxmlformats.org/officeDocument/2006/relationships" name="08 Проверка" sheetId="8" r:id="R3df2460016764070"/>
    <x:sheet xmlns:r="http://schemas.openxmlformats.org/officeDocument/2006/relationships" name="00 Каталог" sheetId="9" r:id="Rfcd09b7044db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1F6B4E"/>
      <x:name val="Carlito"/>
    </x:font>
    <x:font>
      <x:sz val="11"/>
      <x:color rgb="FF8A2D2D"/>
      <x:name val="Carlito"/>
    </x:font>
    <x:font>
      <x:b/>
      <x:sz val="11"/>
      <x:color rgb="FF1F6B4E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DDEFEA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3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wrapText="1"/>
    </x:xf>
    <x:xf numFmtId="203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wrapText="1"/>
    </x:xf>
    <x:xf numFmtId="203" fontId="8" fillId="13" borderId="1" xfId="0" applyNumberFormat="1" applyFont="1" applyFill="1" applyBorder="1" applyAlignment="1">
      <x:alignment wrapText="1"/>
    </x:xf>
    <x:xf numFmtId="0" fontId="8" fillId="13" borderId="1" xfId="0" applyNumberFormat="1" applyFont="1" applyFill="1" applyBorder="1" applyAlignment="1">
      <x:alignment wrapText="1"/>
    </x:xf>
    <x:xf numFmtId="203" fontId="10" fillId="13" borderId="1" xfId="0" applyNumberFormat="1" applyFont="1" applyFill="1" applyBorder="1" applyAlignment="1">
      <x:alignment wrapText="1"/>
    </x:xf>
    <x:xf numFmtId="0" fontId="10" fillId="13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2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8" fillId="18" borderId="1" xfId="0" applyNumberFormat="1" applyFont="1" applyFill="1" applyBorder="1" applyAlignment="1">
      <x:alignment wrapText="1"/>
    </x:xf>
    <x:xf numFmtId="0" fontId="10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2" fillId="19" borderId="0" xfId="0" applyNumberFormat="1" applyFont="1" applyFill="1" applyBorder="1"/>
    <x:xf numFmtId="0" fontId="3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8" fillId="23" borderId="1" xfId="0" applyNumberFormat="1" applyFont="1" applyFill="1" applyBorder="1" applyAlignment="1">
      <x:alignment wrapText="1"/>
    </x:xf>
    <x:xf numFmtId="0" fontId="10" fillId="23" borderId="1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dfc44666141dc" /><Relationship Type="http://schemas.openxmlformats.org/officeDocument/2006/relationships/theme" Target="/xl/theme/theme1.xml" Id="R256ba3d1aae74105" /><Relationship Type="http://schemas.openxmlformats.org/officeDocument/2006/relationships/sharedStrings" Target="/xl/sharedStrings.xml" Id="R801b157ef2814f5f" /><Relationship Type="http://schemas.openxmlformats.org/officeDocument/2006/relationships/worksheet" Target="/xl/worksheets/sheet1.xml" Id="R9b1b11672ff140d8" /><Relationship Type="http://schemas.openxmlformats.org/officeDocument/2006/relationships/worksheet" Target="/xl/worksheets/sheet2.xml" Id="Rf1477a3ce5fd457f" /><Relationship Type="http://schemas.openxmlformats.org/officeDocument/2006/relationships/worksheet" Target="/xl/worksheets/sheet3.xml" Id="R7d67f0edcc7f4436" /><Relationship Type="http://schemas.openxmlformats.org/officeDocument/2006/relationships/worksheet" Target="/xl/worksheets/sheet4.xml" Id="Rc4dd0f64075445b9" /><Relationship Type="http://schemas.openxmlformats.org/officeDocument/2006/relationships/worksheet" Target="/xl/worksheets/sheet5.xml" Id="R2b8c1a0016834b8b" /><Relationship Type="http://schemas.openxmlformats.org/officeDocument/2006/relationships/worksheet" Target="/xl/worksheets/sheet6.xml" Id="R77c6a9f5e687429a" /><Relationship Type="http://schemas.openxmlformats.org/officeDocument/2006/relationships/worksheet" Target="/xl/worksheets/sheet7.xml" Id="Ra8696039a16f490c" /><Relationship Type="http://schemas.openxmlformats.org/officeDocument/2006/relationships/worksheet" Target="/xl/worksheets/sheet8.xml" Id="R3df2460016764070" /><Relationship Type="http://schemas.openxmlformats.org/officeDocument/2006/relationships/worksheet" Target="/xl/worksheets/sheet9.xml" Id="Rfcd09b7044db4a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eb5162693b4b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Денежная потребность по срокам оплаты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Результат</c:v>
          </c:tx>
          <c:dLbls/>
          <c:cat>
            <c:strRef>
              <c:f>'03 Сценарии'!$A$14:$A$18</c:f>
              <c:strCache>
                <c:ptCount val="0"/>
              </c:strCache>
            </c:strRef>
          </c:cat>
          <c:val>
            <c:numRef>
              <c:f>'03 Сценарии'!$B$14:$B$18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eb5162693b4b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d02251b396a40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4" hidden="0" customWidth="1"/>
    <x:col min="5" max="5" width="54" hidden="0" customWidth="1"/>
    <x:col min="6" max="6" width="16" hidden="0" customWidth="1"/>
  </x:cols>
  <x:sheetData>
    <x:row r="1" ht="18" hidden="0" customHeight="1">
      <x:c r="A1" s="5" t="str">
        <x:v>УМ решатор: денежный разрыв по решению</x:v>
      </x:c>
      <x:c r="B1" s="5" t="str">
        <x:v>УМ решатор: денежный разрыв по решению</x:v>
      </x:c>
      <x:c r="C1" s="5" t="str">
        <x:v>УМ решатор: денежный разрыв по решению</x:v>
      </x:c>
      <x:c r="D1" s="5" t="str">
        <x:v>УМ решатор: денежный разрыв по решению</x:v>
      </x:c>
      <x:c r="E1" s="5" t="str">
        <x:v>УМ решатор: денежный разрыв по решению</x:v>
      </x:c>
      <x:c r="F1" s="5" t="str">
        <x:v>УМ решатор: денежный разрыв по решению</x:v>
      </x:c>
    </x:row>
    <x:row r="2" ht="15" hidden="0" customHeight="1">
      <x:c r="A2" s="8" t="str">
        <x:v>Решатор показывает, сколько денег понадобится до поступления оплаты, выдерживает ли компания кассовый контур и какой статус получает решение.</x:v>
      </x:c>
      <x:c r="B2" s="8" t="str">
        <x:v>Решатор показывает, сколько денег понадобится до поступления оплаты, выдерживает ли компания кассовый контур и какой статус получает решение.</x:v>
      </x:c>
      <x:c r="C2" s="8" t="str">
        <x:v>Решатор показывает, сколько денег понадобится до поступления оплаты, выдерживает ли компания кассовый контур и какой статус получает решение.</x:v>
      </x:c>
      <x:c r="D2" s="8" t="str">
        <x:v>Решатор показывает, сколько денег понадобится до поступления оплаты, выдерживает ли компания кассовый контур и какой статус получает решение.</x:v>
      </x:c>
      <x:c r="E2" s="8" t="str">
        <x:v>Решатор показывает, сколько денег понадобится до поступления оплаты, выдерживает ли компания кассовый контур и какой статус получает решение.</x:v>
      </x:c>
      <x:c r="F2" s="8" t="str">
        <x:v>Решатор показывает, сколько денег понадобится до поступления оплаты, выдерживает ли компания кассовый контур и какой статус получает решение.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Комментарий</x:v>
      </x:c>
      <x:c r="F4" s="13" t="str">
        <x:v>Статус</x:v>
      </x:c>
    </x:row>
    <x:row r="5" ht="15" hidden="0" customHeight="1">
      <x:c r="A5" s="16" t="str">
        <x:v>Решение</x:v>
      </x:c>
      <x:c r="B5" s="16" t="str">
        <x:v>Дополнительная выручка без НДС</x:v>
      </x:c>
      <x:c r="C5" s="19" t="n">
        <x:v>12000000</x:v>
      </x:c>
      <x:c r="D5" s="16" t="str">
        <x:v>руб.</x:v>
      </x:c>
      <x:c r="E5" s="16" t="str">
        <x:v>Выручка решения без НДС.</x:v>
      </x:c>
      <x:c r="F5" s="16" t="str">
        <x:v>Ввод</x:v>
      </x:c>
    </x:row>
    <x:row r="6" ht="15" hidden="0" customHeight="1">
      <x:c r="A6" s="16" t="str">
        <x:v>Себестоимость</x:v>
      </x:c>
      <x:c r="B6" s="16" t="str">
        <x:v>Себестоимость без НДС</x:v>
      </x:c>
      <x:c r="C6" s="19" t="n">
        <x:v>8000000</x:v>
      </x:c>
      <x:c r="D6" s="16" t="str">
        <x:v>руб.</x:v>
      </x:c>
      <x:c r="E6" s="16" t="str">
        <x:v>Переменные затраты без НДС.</x:v>
      </x:c>
      <x:c r="F6" s="16" t="str">
        <x:v>Ввод</x:v>
      </x:c>
    </x:row>
    <x:row r="7" ht="15" hidden="0" customHeight="1">
      <x:c r="A7" s="16" t="str">
        <x:v>Расходы</x:v>
      </x:c>
      <x:c r="B7" s="16" t="str">
        <x:v>Дополнительные расходы</x:v>
      </x:c>
      <x:c r="C7" s="19" t="n">
        <x:v>1000000</x:v>
      </x:c>
      <x:c r="D7" s="16" t="str">
        <x:v>руб.</x:v>
      </x:c>
      <x:c r="E7" s="16" t="str">
        <x:v>Операционные расходы решения.</x:v>
      </x:c>
      <x:c r="F7" s="16" t="str">
        <x:v>Ввод</x:v>
      </x:c>
    </x:row>
    <x:row r="8" ht="15" hidden="0" customHeight="1">
      <x:c r="A8" s="16" t="str">
        <x:v>Оплата</x:v>
      </x:c>
      <x:c r="B8" s="16" t="str">
        <x:v>Отсрочка клиента</x:v>
      </x:c>
      <x:c r="C8" s="19" t="n">
        <x:v>90</x:v>
      </x:c>
      <x:c r="D8" s="16" t="str">
        <x:v>дней</x:v>
      </x:c>
      <x:c r="E8" s="16" t="str">
        <x:v>Когда поступят деньги от клиента.</x:v>
      </x:c>
      <x:c r="F8" s="16" t="str">
        <x:v>Ввод</x:v>
      </x:c>
    </x:row>
    <x:row r="9" ht="15" hidden="0" customHeight="1">
      <x:c r="A9" s="16" t="str">
        <x:v>Оплата</x:v>
      </x:c>
      <x:c r="B9" s="16" t="str">
        <x:v>Отсрочка поставщика</x:v>
      </x:c>
      <x:c r="C9" s="19" t="n">
        <x:v>30</x:v>
      </x:c>
      <x:c r="D9" s="16" t="str">
        <x:v>дней</x:v>
      </x:c>
      <x:c r="E9" s="16" t="str">
        <x:v>Когда нужно платить поставщику.</x:v>
      </x:c>
      <x:c r="F9" s="16" t="str">
        <x:v>Ввод</x:v>
      </x:c>
    </x:row>
    <x:row r="10" ht="15" hidden="0" customHeight="1">
      <x:c r="A10" s="16" t="str">
        <x:v>Факт</x:v>
      </x:c>
      <x:c r="B10" s="16" t="str">
        <x:v>Налоговый режим</x:v>
      </x:c>
      <x:c r="C10" s="18" t="str">
        <x:v>ОСНО</x:v>
      </x:c>
      <x:c r="D10" s="16" t="str">
        <x:v>режим</x:v>
      </x:c>
      <x:c r="E10" s="16" t="str">
        <x:v>При ОСНО НДС влияет на денежный контур.</x:v>
      </x:c>
      <x:c r="F10" s="16" t="str">
        <x:v>Ввод</x:v>
      </x:c>
    </x:row>
    <x:row r="11" ht="15" hidden="0" customHeight="1">
      <x:c r="A11" s="16" t="str">
        <x:v>Налоги</x:v>
      </x:c>
      <x:c r="B11" s="16" t="str">
        <x:v>Ставка НДС</x:v>
      </x:c>
      <x:c r="C11" s="20" t="n">
        <x:v>0.22</x:v>
      </x:c>
      <x:c r="D11" s="16" t="str">
        <x:v>%</x:v>
      </x:c>
      <x:c r="E11" s="16" t="str">
        <x:v>Расчетный НДС.</x:v>
      </x:c>
      <x:c r="F11" s="16" t="str">
        <x:v>Ввод</x:v>
      </x:c>
    </x:row>
    <x:row r="12" ht="15" hidden="0" customHeight="1">
      <x:c r="A12" s="16" t="str">
        <x:v>Налоги</x:v>
      </x:c>
      <x:c r="B12" s="16" t="str">
        <x:v>Налог на прибыль</x:v>
      </x:c>
      <x:c r="C12" s="20" t="n">
        <x:v>0.25</x:v>
      </x:c>
      <x:c r="D12" s="16" t="str">
        <x:v>%</x:v>
      </x:c>
      <x:c r="E12" s="16" t="str">
        <x:v>Расчетное допущение для чистого результата.</x:v>
      </x:c>
      <x:c r="F12" s="16" t="str">
        <x:v>Ввод</x:v>
      </x:c>
    </x:row>
    <x:row r="13" ht="15" hidden="0" customHeight="1">
      <x:c r="A13" s="16" t="str">
        <x:v>Деньги</x:v>
      </x:c>
      <x:c r="B13" s="16" t="str">
        <x:v>Стоимость денег годовая</x:v>
      </x:c>
      <x:c r="C13" s="20" t="n">
        <x:v>0.2</x:v>
      </x:c>
      <x:c r="D13" s="16" t="str">
        <x:v>%</x:v>
      </x:c>
      <x:c r="E13" s="16" t="str">
        <x:v>Цена финансирования кассового разрыва.</x:v>
      </x:c>
      <x:c r="F13" s="16" t="str">
        <x:v>Ввод</x:v>
      </x:c>
    </x:row>
    <x:row r="14" ht="15" hidden="0" customHeight="1">
      <x:c r="A14" s="16" t="str">
        <x:v>Ограничение</x:v>
      </x:c>
      <x:c r="B14" s="16" t="str">
        <x:v>Доступный денежный лимит</x:v>
      </x:c>
      <x:c r="C14" s="19" t="n">
        <x:v>7000000</x:v>
      </x:c>
      <x:c r="D14" s="16" t="str">
        <x:v>руб.</x:v>
      </x:c>
      <x:c r="E14" s="16" t="str">
        <x:v>Сколько компания готова финансировать.</x:v>
      </x:c>
      <x:c r="F14" s="16" t="str">
        <x:v>Ввод</x:v>
      </x:c>
    </x:row>
    <x:row r="15" ht="15" hidden="0" customHeight="1">
      <x:c r="A15" s="16" t="str">
        <x:v>Порог</x:v>
      </x:c>
      <x:c r="B15" s="16" t="str">
        <x:v>Минимальный чистый результат</x:v>
      </x:c>
      <x:c r="C15" s="19" t="n">
        <x:v>1000000</x:v>
      </x:c>
      <x:c r="D15" s="16" t="str">
        <x:v>руб.</x:v>
      </x:c>
      <x:c r="E15" s="16" t="str">
        <x:v>Минимальный результат после налогов и денег.</x:v>
      </x:c>
      <x:c r="F15" s="16" t="str">
        <x:v>Ввод</x:v>
      </x:c>
    </x:row>
    <x:row r="16" ht="15" hidden="0" customHeight="1">
      <x:c r="A16" s="16" t="str">
        <x:v>Качество данных</x:v>
      </x:c>
      <x:c r="B16" s="16" t="str">
        <x:v>Данные подтверждены</x:v>
      </x:c>
      <x:c r="C16" s="18" t="str">
        <x:v>Да</x:v>
      </x:c>
      <x:c r="D16" s="16" t="str">
        <x:v>Да/Нет</x:v>
      </x:c>
      <x:c r="E16" s="16" t="str">
        <x:v>Подтверждены ли цена, расходы и сроки.</x:v>
      </x:c>
      <x:c r="F16" s="16" t="str">
        <x:v>Ввод</x:v>
      </x:c>
    </x:row>
    <x:row r="17" ht="15" hidden="0" customHeight="1">
      <x:c r="A17" s="16" t="str">
        <x:v>Контроль</x:v>
      </x:c>
      <x:c r="B17" s="16" t="str">
        <x:v>Дата первого контроля</x:v>
      </x:c>
      <x:c r="C17" s="21" t="n">
        <x:v>46235</x:v>
      </x:c>
      <x:c r="D17" s="16" t="str">
        <x:v>дата</x:v>
      </x:c>
      <x:c r="E17" s="16" t="str">
        <x:v>Дата проверки денег и оплат.</x:v>
      </x:c>
      <x:c r="F17" s="16" t="str">
        <x:v>Ввод</x:v>
      </x:c>
    </x:row>
    <x:row r="18" ht="15" hidden="0" customHeight="1">
      <x:c r="A18" s="16" t="str">
        <x:v>Ответственный</x:v>
      </x:c>
      <x:c r="B18" s="16" t="str">
        <x:v>Финансовый директор / CFO</x:v>
      </x:c>
      <x:c r="C18" s="18" t="str">
        <x:v>Финансовый директор</x:v>
      </x:c>
      <x:c r="D18" s="16" t="str">
        <x:v>роль</x:v>
      </x:c>
      <x:c r="E18" s="16" t="str">
        <x:v>Отвечает за денежный и налоговый контур.</x:v>
      </x:c>
      <x:c r="F18" s="16" t="str">
        <x:v>Ввод</x:v>
      </x:c>
    </x:row>
  </x:sheetData>
  <x:mergeCells>
    <x:mergeCell ref="A1:F1"/>
    <x:mergeCell ref="A2:F2"/>
  </x:mergeCells>
  <x:dataValidations count="2">
    <x:dataValidation type="list" sqref="C16">
      <x:formula1>"Да,Нет"</x:formula1>
    </x:dataValidation>
    <x:dataValidation type="list" sqref="C10">
      <x:formula1>"ОСНО,УСН"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5" t="str">
        <x:v>02 Расчет: P&amp;L / отчет о прибылях и убытках, деньги и налоговый контур</x:v>
      </x:c>
      <x:c r="B1" s="5" t="str">
        <x:v>02 Расчет: P&amp;L / отчет о прибылях и убытках, деньги и налоговый контур</x:v>
      </x:c>
      <x:c r="C1" s="5" t="str">
        <x:v>02 Расчет: P&amp;L / отчет о прибылях и убытках, деньги и налоговый контур</x:v>
      </x:c>
      <x:c r="D1" s="5" t="str">
        <x:v>02 Расчет: P&amp;L / отчет о прибылях и убытках, деньги и налоговый контур</x:v>
      </x:c>
      <x:c r="E1" s="5" t="str">
        <x:v>02 Расчет: P&amp;L / отчет о прибылях и убытках, деньги и налоговый контур</x:v>
      </x:c>
    </x:row>
    <x:row r="2" ht="15" hidden="0" customHeight="1">
      <x:c r="A2" s="8" t="str">
        <x:v>Логика УМ: прибыль на бумаге не равна допустимости решения. Нужно проверить денежный разрыв, налоговый контур и стоимость финансирования.</x:v>
      </x:c>
      <x:c r="B2" s="8" t="str">
        <x:v>Логика УМ: прибыль на бумаге не равна допустимости решения. Нужно проверить денежный разрыв, налоговый контур и стоимость финансирования.</x:v>
      </x:c>
      <x:c r="C2" s="8" t="str">
        <x:v>Логика УМ: прибыль на бумаге не равна допустимости решения. Нужно проверить денежный разрыв, налоговый контур и стоимость финансирования.</x:v>
      </x:c>
      <x:c r="D2" s="8" t="str">
        <x:v>Логика УМ: прибыль на бумаге не равна допустимости решения. Нужно проверить денежный разрыв, налоговый контур и стоимость финансирования.</x:v>
      </x:c>
      <x:c r="E2" s="8" t="str">
        <x:v>Логика УМ: прибыль на бумаге не равна допустимости решения. Нужно проверить денежный разрыв, налоговый контур и стоимость финансирования.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Формула / смысл</x:v>
      </x:c>
    </x:row>
    <x:row r="5" ht="15" hidden="0" customHeight="1">
      <x:c r="A5" s="16" t="str">
        <x:v>P&amp;L</x:v>
      </x:c>
      <x:c r="B5" s="16" t="str">
        <x:v>Операционный результат до денег и налогов</x:v>
      </x:c>
      <x:c r="C5" s="23" t="n">
        <x:f>'01 Ввод'!C5-'01 Ввод'!C6-'01 Ввод'!C7</x:f>
        <x:v>3000000</x:v>
      </x:c>
      <x:c r="D5" s="16" t="str">
        <x:v>руб.</x:v>
      </x:c>
      <x:c r="E5" s="16" t="str">
        <x:v>Выручка - себестоимость - расходы.</x:v>
      </x:c>
    </x:row>
    <x:row r="6" ht="15" hidden="0" customHeight="1">
      <x:c r="A6" s="16" t="str">
        <x:v>Сроки</x:v>
      </x:c>
      <x:c r="B6" s="16" t="str">
        <x:v>Чистый кассовый разрыв в днях</x:v>
      </x:c>
      <x:c r="C6" s="23" t="n">
        <x:f>MAX(0,'01 Ввод'!C8-'01 Ввод'!C9)</x:f>
        <x:v>60</x:v>
      </x:c>
      <x:c r="D6" s="16" t="str">
        <x:v>дней</x:v>
      </x:c>
      <x:c r="E6" s="16" t="str">
        <x:v>Отсрочка клиента - отсрочка поставщика.</x:v>
      </x:c>
    </x:row>
    <x:row r="7" ht="15" hidden="0" customHeight="1">
      <x:c r="A7" s="16" t="str">
        <x:v>НДС</x:v>
      </x:c>
      <x:c r="B7" s="16" t="str">
        <x:v>НДС к уплате расчетно</x:v>
      </x:c>
      <x:c r="C7" s="23" t="n">
        <x:f>IF('01 Ввод'!C10="ОСНО",MAX(0,'01 Ввод'!C5*'01 Ввод'!C11-'01 Ввод'!C6*'01 Ввод'!C11),0)</x:f>
        <x:v>880000</x:v>
      </x:c>
      <x:c r="D7" s="16" t="str">
        <x:v>руб.</x:v>
      </x:c>
      <x:c r="E7" s="16" t="str">
        <x:v>Выходящий НДС минус входящий НДС по себестоимости.</x:v>
      </x:c>
    </x:row>
    <x:row r="8" ht="15" hidden="0" customHeight="1">
      <x:c r="A8" s="16" t="str">
        <x:v>Деньги</x:v>
      </x:c>
      <x:c r="B8" s="16" t="str">
        <x:v>Дебиторская задолженность с НДС</x:v>
      </x:c>
      <x:c r="C8" s="23" t="n">
        <x:f>'01 Ввод'!C5*(1+'01 Ввод'!C11)</x:f>
        <x:v>14640000</x:v>
      </x:c>
      <x:c r="D8" s="16" t="str">
        <x:v>руб.</x:v>
      </x:c>
      <x:c r="E8" s="16" t="str">
        <x:v>Сколько денег будет висеть до оплаты клиента.</x:v>
      </x:c>
    </x:row>
    <x:row r="9" ht="15" hidden="0" customHeight="1">
      <x:c r="A9" s="16" t="str">
        <x:v>Деньги</x:v>
      </x:c>
      <x:c r="B9" s="16" t="str">
        <x:v>Кредит поставщика</x:v>
      </x:c>
      <x:c r="C9" s="23" t="n">
        <x:f>'01 Ввод'!C6*(1+'01 Ввод'!C11)*MIN(1,IF('01 Ввод'!C8&lt;=0,0,'01 Ввод'!C9/'01 Ввод'!C8))</x:f>
        <x:v>3253333.333333333</x:v>
      </x:c>
      <x:c r="D9" s="16" t="str">
        <x:v>руб.</x:v>
      </x:c>
      <x:c r="E9" s="16" t="str">
        <x:v>Сколько закрывает отсрочка поставщика.</x:v>
      </x:c>
    </x:row>
    <x:row r="10" ht="15" hidden="0" customHeight="1">
      <x:c r="A10" s="16" t="str">
        <x:v>Деньги</x:v>
      </x:c>
      <x:c r="B10" s="16" t="str">
        <x:v>Денежная потребность до оплаты</x:v>
      </x:c>
      <x:c r="C10" s="23" t="n">
        <x:f>MAX(0,C8-C9+'01 Ввод'!C7+C7)</x:f>
        <x:v>13266666.666666668</x:v>
      </x:c>
      <x:c r="D10" s="16" t="str">
        <x:v>руб.</x:v>
      </x:c>
      <x:c r="E10" s="16" t="str">
        <x:v>Дебиторка с НДС - кредит поставщика + расходы + НДС к уплате.</x:v>
      </x:c>
    </x:row>
    <x:row r="11" ht="15" hidden="0" customHeight="1">
      <x:c r="A11" s="16" t="str">
        <x:v>Деньги</x:v>
      </x:c>
      <x:c r="B11" s="16" t="str">
        <x:v>Стоимость финансирования разрыва</x:v>
      </x:c>
      <x:c r="C11" s="23" t="n">
        <x:f>C10*'01 Ввод'!C13*C6/365</x:f>
        <x:v>436164.3835616439</x:v>
      </x:c>
      <x:c r="D11" s="16" t="str">
        <x:v>руб.</x:v>
      </x:c>
      <x:c r="E11" s="16" t="str">
        <x:v>Денежная потребность × стоимость денег × дни / 365.</x:v>
      </x:c>
    </x:row>
    <x:row r="12" ht="15" hidden="0" customHeight="1">
      <x:c r="A12" s="16" t="str">
        <x:v>Налоги</x:v>
      </x:c>
      <x:c r="B12" s="16" t="str">
        <x:v>Прибыль до налога после финансирования</x:v>
      </x:c>
      <x:c r="C12" s="23" t="n">
        <x:f>C5-C11</x:f>
        <x:v>2563835.616438356</x:v>
      </x:c>
      <x:c r="D12" s="16" t="str">
        <x:v>руб.</x:v>
      </x:c>
      <x:c r="E12" s="16" t="str">
        <x:v>Операционный результат - стоимость финансирования.</x:v>
      </x:c>
    </x:row>
    <x:row r="13" ht="15" hidden="0" customHeight="1">
      <x:c r="A13" s="16" t="str">
        <x:v>Налоги</x:v>
      </x:c>
      <x:c r="B13" s="16" t="str">
        <x:v>Налог на прибыль расчетно</x:v>
      </x:c>
      <x:c r="C13" s="23" t="n">
        <x:f>MAX(0,C12*'01 Ввод'!C12)</x:f>
        <x:v>640958.904109589</x:v>
      </x:c>
      <x:c r="D13" s="16" t="str">
        <x:v>руб.</x:v>
      </x:c>
      <x:c r="E13" s="16" t="str">
        <x:v>Налог на прибыль с положительного результата.</x:v>
      </x:c>
    </x:row>
    <x:row r="14" ht="15" hidden="0" customHeight="1">
      <x:c r="A14" s="16" t="str">
        <x:v>Итог</x:v>
      </x:c>
      <x:c r="B14" s="16" t="str">
        <x:v>Чистый результат решения</x:v>
      </x:c>
      <x:c r="C14" s="23" t="n">
        <x:f>C12-C13</x:f>
        <x:v>1922876.7123287672</x:v>
      </x:c>
      <x:c r="D14" s="16" t="str">
        <x:v>руб.</x:v>
      </x:c>
      <x:c r="E14" s="16" t="str">
        <x:v>Результат после денег и налога на прибыль.</x:v>
      </x:c>
    </x:row>
    <x:row r="15" ht="15" hidden="0" customHeight="1">
      <x:c r="A15" s="16" t="str">
        <x:v>Дельта</x:v>
      </x:c>
      <x:c r="B15" s="16" t="str">
        <x:v>Разрыв к денежному лимиту</x:v>
      </x:c>
      <x:c r="C15" s="23" t="n">
        <x:f>'01 Ввод'!C14-C10</x:f>
        <x:v>-6266666.666666668</x:v>
      </x:c>
      <x:c r="D15" s="16" t="str">
        <x:v>руб.</x:v>
      </x:c>
      <x:c r="E15" s="16" t="str">
        <x:v>Положительно = лимита хватает.</x:v>
      </x:c>
    </x:row>
    <x:row r="16" ht="15" hidden="0" customHeight="1">
      <x:c r="A16" s="16" t="str">
        <x:v>Порог</x:v>
      </x:c>
      <x:c r="B16" s="16" t="str">
        <x:v>Минимальная предоплата для лимита</x:v>
      </x:c>
      <x:c r="C16" s="24" t="n">
        <x:f>MAX(0,(C10-'01 Ввод'!C14)/('01 Ввод'!C5*(1+'01 Ввод'!C11)))</x:f>
        <x:v>0.4280510018214937</x:v>
      </x:c>
      <x:c r="D16" s="16" t="str">
        <x:v>%</x:v>
      </x:c>
      <x:c r="E16" s="16" t="str">
        <x:v>Доля предоплаты, чтобы уложиться в денежный лимит.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5"/>
      <x:c r="B1" s="5"/>
      <x:c r="C1" s="5"/>
      <x:c r="D1" s="5"/>
      <x:c r="E1" s="5"/>
    </x:row>
    <x:row r="2" ht="15" hidden="0" customHeight="1">
      <x:c r="A2" s="8"/>
      <x:c r="B2" s="8"/>
      <x:c r="C2" s="8"/>
      <x:c r="D2" s="8"/>
      <x:c r="E2" s="8"/>
    </x:row>
    <x:row r="3"/>
    <x:row r="4" ht="15" hidden="0" customHeight="1">
      <x:c r="A4" s="13" t="str">
        <x:v>Сценарий</x:v>
      </x:c>
      <x:c r="B4" s="13" t="str">
        <x:v>Параметр</x:v>
      </x:c>
      <x:c r="C4" s="13" t="str">
        <x:v>Результат</x:v>
      </x:c>
      <x:c r="D4" s="13" t="str">
        <x:v>Дельта / статус</x:v>
      </x:c>
      <x:c r="E4" s="13" t="str">
        <x:v>Вывод</x:v>
      </x:c>
    </x:row>
    <x:row r="5" ht="15" hidden="0" customHeight="1">
      <x:c r="A5" s="16" t="str">
        <x:v>Оплата 30 дней</x:v>
      </x:c>
      <x:c r="B5" s="23" t="n">
        <x:f>30</x:f>
        <x:v>30</x:v>
      </x:c>
      <x:c r="C5" s="23" t="n">
        <x:f>MAX(0,'01 Ввод'!C5*(1+'01 Ввод'!C11)-'01 Ввод'!C6*(1+'01 Ввод'!C11)*MIN(1,'01 Ввод'!C9/B5)+'01 Ввод'!C7+'02 Расчет'!C7)</x:f>
        <x:v>6760000</x:v>
      </x:c>
      <x:c r="D5" s="23" t="n">
        <x:f>'02 Расчет'!C5-(C5*'01 Ввод'!C13*MAX(0,B5-'01 Ввод'!C9)/365)</x:f>
        <x:v>3000000</x:v>
      </x:c>
      <x:c r="E5" s="16" t="str">
        <x:f>IF(C5&lt;='01 Ввод'!C14,"проходит","нужны условия")</x:f>
        <x:v>проходит</x:v>
      </x:c>
    </x:row>
    <x:row r="6" ht="15" hidden="0" customHeight="1">
      <x:c r="A6" s="16" t="str">
        <x:v>Оплата 60 дней</x:v>
      </x:c>
      <x:c r="B6" s="23" t="n">
        <x:f>60</x:f>
        <x:v>60</x:v>
      </x:c>
      <x:c r="C6" s="23" t="n">
        <x:f>MAX(0,'01 Ввод'!C5*(1+'01 Ввод'!C11)-'01 Ввод'!C6*(1+'01 Ввод'!C11)*MIN(1,'01 Ввод'!C9/B6)+'01 Ввод'!C7+'02 Расчет'!C7)</x:f>
        <x:v>11640000</x:v>
      </x:c>
      <x:c r="D6" s="23" t="n">
        <x:f>'02 Расчет'!C5-(C6*'01 Ввод'!C13*MAX(0,B6-'01 Ввод'!C9)/365)</x:f>
        <x:v>2808657.5342465756</x:v>
      </x:c>
      <x:c r="E6" s="16" t="str">
        <x:f>IF(C6&lt;='01 Ввод'!C14,"проходит","нужны условия")</x:f>
        <x:v>нужны условия</x:v>
      </x:c>
    </x:row>
    <x:row r="7" ht="15" hidden="0" customHeight="1">
      <x:c r="A7" s="16" t="str">
        <x:v>Текущая отсрочка</x:v>
      </x:c>
      <x:c r="B7" s="23" t="n">
        <x:f>'01 Ввод'!C8</x:f>
        <x:v>90</x:v>
      </x:c>
      <x:c r="C7" s="23" t="n">
        <x:f>'02 Расчет'!C10</x:f>
        <x:v>13266666.666666668</x:v>
      </x:c>
      <x:c r="D7" s="23" t="n">
        <x:f>'02 Расчет'!C14</x:f>
        <x:v>1922876.7123287672</x:v>
      </x:c>
      <x:c r="E7" s="16" t="str">
        <x:f>IF(C7&lt;='01 Ввод'!C14,"проходит","нужны условия")</x:f>
        <x:v>нужны условия</x:v>
      </x:c>
    </x:row>
    <x:row r="8" ht="15" hidden="0" customHeight="1">
      <x:c r="A8" s="16" t="str">
        <x:v>Оплата 120 дней</x:v>
      </x:c>
      <x:c r="B8" s="23" t="n">
        <x:f>120</x:f>
        <x:v>120</x:v>
      </x:c>
      <x:c r="C8" s="23" t="n">
        <x:f>MAX(0,'01 Ввод'!C5*(1+'01 Ввод'!C11)-'01 Ввод'!C6*(1+'01 Ввод'!C11)*MIN(1,'01 Ввод'!C9/B8)+'01 Ввод'!C7+'02 Расчет'!C7)</x:f>
        <x:v>14080000</x:v>
      </x:c>
      <x:c r="D8" s="23" t="n">
        <x:f>'02 Расчет'!C5-(C8*'01 Ввод'!C13*MAX(0,B8-'01 Ввод'!C9)/365)</x:f>
        <x:v>2305643.835616438</x:v>
      </x:c>
      <x:c r="E8" s="16" t="str">
        <x:f>IF(C8&lt;='01 Ввод'!C14,"проходит","нужны условия")</x:f>
        <x:v>нужны условия</x:v>
      </x:c>
    </x:row>
    <x:row r="9" ht="15" hidden="0" customHeight="1">
      <x:c r="A9" s="16" t="str">
        <x:v>С лимитом денег</x:v>
      </x:c>
      <x:c r="B9" s="23" t="n">
        <x:f>'01 Ввод'!C14</x:f>
        <x:v>7000000</x:v>
      </x:c>
      <x:c r="C9" s="23" t="n">
        <x:f>B9</x:f>
        <x:v>7000000</x:v>
      </x:c>
      <x:c r="D9" s="24" t="n">
        <x:f>'02 Расчет'!C16</x:f>
        <x:v>0.4280510018214937</x:v>
      </x:c>
      <x:c r="E9" s="16" t="str">
        <x:f>"требуемая предоплата"</x:f>
        <x:v>требуемая предоплата</x:v>
      </x:c>
    </x:row>
    <x:row r="10"/>
    <x:row r="11"/>
    <x:row r="12"/>
    <x:row r="13" ht="15" hidden="0" customHeight="1">
      <x:c r="A13" s="13" t="str">
        <x:v>Параметр сценария</x:v>
      </x:c>
      <x:c r="B13" s="13" t="str">
        <x:v>Результат</x:v>
      </x:c>
    </x:row>
    <x:row r="14" ht="15" hidden="0" customHeight="1">
      <x:c r="A14" s="16" t="str">
        <x:v>30 дн.</x:v>
      </x:c>
      <x:c r="B14" s="25" t="n">
        <x:f>C5</x:f>
        <x:v>6760000</x:v>
      </x:c>
    </x:row>
    <x:row r="15" ht="15" hidden="0" customHeight="1">
      <x:c r="A15" s="16" t="str">
        <x:v>60 дн.</x:v>
      </x:c>
      <x:c r="B15" s="25" t="n">
        <x:f>C6</x:f>
        <x:v>11640000</x:v>
      </x:c>
    </x:row>
    <x:row r="16" ht="15" hidden="0" customHeight="1">
      <x:c r="A16" s="16" t="str">
        <x:v>Текущ.</x:v>
      </x:c>
      <x:c r="B16" s="25" t="n">
        <x:f>C7</x:f>
        <x:v>13266666.666666668</x:v>
      </x:c>
    </x:row>
    <x:row r="17" ht="15" hidden="0" customHeight="1">
      <x:c r="A17" s="16" t="str">
        <x:v>120 дн.</x:v>
      </x:c>
      <x:c r="B17" s="25" t="n">
        <x:f>C8</x:f>
        <x:v>14080000</x:v>
      </x:c>
    </x:row>
    <x:row r="18" ht="15" hidden="0" customHeight="1">
      <x:c r="A18" s="16" t="str">
        <x:v>Лимит</x:v>
      </x:c>
      <x:c r="B18" s="25" t="n">
        <x:f>C9</x:f>
        <x:v>7000000</x:v>
      </x:c>
    </x:row>
  </x:sheetData>
  <x:mergeCells>
    <x:mergeCell ref="A1:E1"/>
    <x:mergeCell ref="A2:E2"/>
  </x:mergeCells>
  <x:conditionalFormatting sqref="E5:E9">
    <x:cfRule type="containsText" dxfId="0" priority="1" operator="containsText" text="Нельзя"/>
    <x:cfRule type="containsText" dxfId="1" priority="2" operator="containsText" text="Можно при условиях"/>
    <x:cfRule type="containsText" dxfId="2" priority="3" operator="containsText" text="Можно"/>
    <x:cfRule type="containsText" dxfId="3" priority="4" operator="containsText" text="ОК"/>
    <x:cfRule type="containsText" dxfId="4" priority="5" operator="containsText" text="Провал"/>
    <x:cfRule type="containsText" dxfId="5" priority="6" operator="containsText" text="услов"/>
  </x:conditionalFormatting>
  <x:pageMargins left="0.7" right="0.7" top="0.75" bottom="0.75" header="0.3" footer="0.3"/>
  <x:drawing xmlns:r="http://schemas.openxmlformats.org/officeDocument/2006/relationships" r:id="Rad02251b396a406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5" t="str">
        <x:v>04 Контуры проверки УМ</x:v>
      </x:c>
      <x:c r="B1" s="5" t="str">
        <x:v>04 Контуры проверки УМ</x:v>
      </x:c>
      <x:c r="C1" s="5" t="str">
        <x:v>04 Контуры проверки УМ</x:v>
      </x:c>
      <x:c r="D1" s="5" t="str">
        <x:v>04 Контуры проверки УМ</x:v>
      </x:c>
      <x:c r="E1" s="5" t="str">
        <x:v>04 Контуры проверки УМ</x:v>
      </x:c>
    </x:row>
    <x:row r="2" ht="15" hidden="0" customHeight="1">
      <x:c r="A2" s="8" t="str">
        <x:v>Контуры показывают, где решение проходит расчет, а где требует условия или отказа.</x:v>
      </x:c>
      <x:c r="B2" s="8" t="str">
        <x:v>Контуры показывают, где решение проходит расчет, а где требует условия или отказа.</x:v>
      </x:c>
      <x:c r="C2" s="8" t="str">
        <x:v>Контуры показывают, где решение проходит расчет, а где требует условия или отказа.</x:v>
      </x:c>
      <x:c r="D2" s="8" t="str">
        <x:v>Контуры показывают, где решение проходит расчет, а где требует условия или отказа.</x:v>
      </x:c>
      <x:c r="E2" s="8" t="str">
        <x:v>Контуры показывают, где решение проходит расчет, а где требует условия или отказа.</x:v>
      </x:c>
    </x:row>
    <x:row r="3"/>
    <x:row r="4" ht="15" hidden="0" customHeight="1">
      <x:c r="A4" s="13" t="str">
        <x:v>Контур</x:v>
      </x:c>
      <x:c r="B4" s="13" t="str">
        <x:v>Проверка</x:v>
      </x:c>
      <x:c r="C4" s="13" t="str">
        <x:v>Результат</x:v>
      </x:c>
      <x:c r="D4" s="13" t="str">
        <x:v>Как читать</x:v>
      </x:c>
      <x:c r="E4" s="13" t="str">
        <x:v>Ответственный</x:v>
      </x:c>
    </x:row>
    <x:row r="5" ht="15" hidden="0" customHeight="1">
      <x:c r="A5" s="16" t="str">
        <x:v>Деньги</x:v>
      </x:c>
      <x:c r="B5" s="16" t="str">
        <x:v>Денежная потребность проходит лимит</x:v>
      </x:c>
      <x:c r="C5" s="22" t="str">
        <x:f>IF('02 Расчет'!C10&lt;='01 Ввод'!C14,"ОК","Провал")</x:f>
        <x:v>Провал</x:v>
      </x:c>
      <x:c r="D5" s="16" t="str">
        <x:v>Компания должна выдержать финансирование до оплаты клиента.</x:v>
      </x:c>
      <x:c r="E5" s="16" t="str">
        <x:v>Финансовый директор</x:v>
      </x:c>
    </x:row>
    <x:row r="6" ht="15" hidden="0" customHeight="1">
      <x:c r="A6" s="16" t="str">
        <x:v>P&amp;L</x:v>
      </x:c>
      <x:c r="B6" s="16" t="str">
        <x:v>Чистый результат проходит порог</x:v>
      </x:c>
      <x:c r="C6" s="22" t="str">
        <x:f>IF('02 Расчет'!C14&gt;='01 Ввод'!C15,"ОК","Провал")</x:f>
        <x:v>ОК</x:v>
      </x:c>
      <x:c r="D6" s="16" t="str">
        <x:v>Решение должно давать минимальный чистый результат.</x:v>
      </x:c>
      <x:c r="E6" s="16" t="str">
        <x:v>Генеральный директор</x:v>
      </x:c>
    </x:row>
    <x:row r="7" ht="15" hidden="0" customHeight="1">
      <x:c r="A7" s="16" t="str">
        <x:v>Налоги</x:v>
      </x:c>
      <x:c r="B7" s="16" t="str">
        <x:v>НДС учтен в денежном контуре</x:v>
      </x:c>
      <x:c r="C7" s="22" t="str">
        <x:f>IF('01 Ввод'!C10="ОСНО","ОК","ОК")</x:f>
        <x:v>ОК</x:v>
      </x:c>
      <x:c r="D7" s="16" t="str">
        <x:v>При ОСНО НДС включен в денежную потребность.</x:v>
      </x:c>
      <x:c r="E7" s="16" t="str">
        <x:v>Финансовый директор</x:v>
      </x:c>
    </x:row>
    <x:row r="8" ht="15" hidden="0" customHeight="1">
      <x:c r="A8" s="16" t="str">
        <x:v>Данные</x:v>
      </x:c>
      <x:c r="B8" s="16" t="str">
        <x:v>Данные подтверждены</x:v>
      </x:c>
      <x:c r="C8" s="22" t="str">
        <x:f>IF('01 Ввод'!C16="Да","ОК","Провал")</x:f>
        <x:v>ОК</x:v>
      </x:c>
      <x:c r="D8" s="16" t="str">
        <x:v>Без подтверждения сроков и сумм статус ограничивается.</x:v>
      </x:c>
      <x:c r="E8" s="16" t="str">
        <x:v>Финансовый директор</x:v>
      </x:c>
    </x:row>
  </x:sheetData>
  <x:mergeCells>
    <x:mergeCell ref="A1:E1"/>
    <x:mergeCell ref="A2:E2"/>
  </x:mergeCells>
  <x:conditionalFormatting sqref="C5:C8">
    <x:cfRule type="containsText" dxfId="6" priority="1" operator="containsText" text="Нельзя"/>
    <x:cfRule type="containsText" dxfId="7" priority="2" operator="containsText" text="Можно при условиях"/>
    <x:cfRule type="containsText" dxfId="8" priority="3" operator="containsText" text="Можно"/>
    <x:cfRule type="containsText" dxfId="9" priority="4" operator="containsText" text="ОК"/>
    <x:cfRule type="containsText" dxfId="10" priority="5" operator="containsText" text="Провал"/>
    <x:cfRule type="containsText" dxfId="11" priority="6" operator="containsText" text="услов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5" t="str">
        <x:v>05 Статус решения</x:v>
      </x:c>
      <x:c r="B1" s="5" t="str">
        <x:v>05 Статус решения</x:v>
      </x:c>
      <x:c r="C1" s="5" t="str">
        <x:v>05 Статус решения</x:v>
      </x:c>
    </x:row>
    <x:row r="2" ht="15" hidden="0" customHeight="1">
      <x:c r="A2" s="8" t="str">
        <x:v>Статус рассчитывается из порога, сценариев, контуров и подтверждения данных. Статус не вводится вручную.</x:v>
      </x:c>
      <x:c r="B2" s="8" t="str">
        <x:v>Статус рассчитывается из порога, сценариев, контуров и подтверждения данных. Статус не вводится вручную.</x:v>
      </x:c>
      <x:c r="C2" s="8" t="str">
        <x:v>Статус рассчитывается из порога, сценариев, контуров и подтверждения данных. Статус не вводится вручную.</x:v>
      </x:c>
    </x:row>
    <x:row r="3"/>
    <x:row r="4" ht="15" hidden="0" customHeight="1">
      <x:c r="A4" s="13" t="str">
        <x:v>Проверка</x:v>
      </x:c>
      <x:c r="B4" s="13" t="str">
        <x:v>Значение</x:v>
      </x:c>
      <x:c r="C4" s="13" t="str">
        <x:v>Комментарий</x:v>
      </x:c>
    </x:row>
    <x:row r="5" ht="15" hidden="0" customHeight="1">
      <x:c r="A5" s="16" t="str">
        <x:v>Денежная потребность</x:v>
      </x:c>
      <x:c r="B5" s="23" t="n">
        <x:f>'02 Расчет'!C10</x:f>
        <x:v>13266666.666666668</x:v>
      </x:c>
      <x:c r="C5" s="16" t="str">
        <x:v>Сколько денег нужно до оплаты.</x:v>
      </x:c>
    </x:row>
    <x:row r="6" ht="15" hidden="0" customHeight="1">
      <x:c r="A6" s="16" t="str">
        <x:v>Денежный лимит</x:v>
      </x:c>
      <x:c r="B6" s="23" t="n">
        <x:f>'01 Ввод'!C14</x:f>
        <x:v>7000000</x:v>
      </x:c>
      <x:c r="C6" s="16" t="str">
        <x:v>Сколько можно финансировать.</x:v>
      </x:c>
    </x:row>
    <x:row r="7" ht="15" hidden="0" customHeight="1">
      <x:c r="A7" s="16" t="str">
        <x:v>Чистый результат</x:v>
      </x:c>
      <x:c r="B7" s="23" t="n">
        <x:f>'02 Расчет'!C14</x:f>
        <x:v>1922876.7123287672</x:v>
      </x:c>
      <x:c r="C7" s="16" t="str">
        <x:v>Результат после денег и налога.</x:v>
      </x:c>
    </x:row>
    <x:row r="8" ht="15" hidden="0" customHeight="1">
      <x:c r="A8" s="16" t="str">
        <x:v>Минимальный чистый результат</x:v>
      </x:c>
      <x:c r="B8" s="23" t="n">
        <x:f>'01 Ввод'!C15</x:f>
        <x:v>1000000</x:v>
      </x:c>
      <x:c r="C8" s="16" t="str">
        <x:v>Порог компании.</x:v>
      </x:c>
    </x:row>
    <x:row r="9" ht="15" hidden="0" customHeight="1">
      <x:c r="A9" s="16" t="str">
        <x:v>Минимальная предоплата для лимита</x:v>
      </x:c>
      <x:c r="B9" s="24" t="n">
        <x:f>'02 Расчет'!C16</x:f>
        <x:v>0.4280510018214937</x:v>
      </x:c>
      <x:c r="C9" s="16" t="str">
        <x:v>Условие для прохождения денежного контура.</x:v>
      </x:c>
    </x:row>
    <x:row r="10" ht="15" hidden="0" customHeight="1">
      <x:c r="A10" s="27" t="str">
        <x:v>Статус решения</x:v>
      </x:c>
      <x:c r="B10" s="27" t="str">
        <x:f>IF(AND(B5&lt;=B6,B7&gt;=B8,'01 Ввод'!C16="Да"),"Можно",IF(AND(B7&gt;=B8,'01 Ввод'!C16="Да"),"Можно при условиях","Нельзя в текущей модели"))</x:f>
        <x:v>Можно при условиях</x:v>
      </x:c>
      <x:c r="C10" s="27" t="str">
        <x:v>Итоговый вердикт УМ.</x:v>
      </x:c>
    </x:row>
    <x:row r="11"/>
    <x:row r="12"/>
    <x:row r="13" ht="15" hidden="0" customHeight="1">
      <x:c r="A13" s="16" t="str">
        <x:v>Светофор</x:v>
      </x:c>
      <x:c r="B13" s="16"/>
    </x:row>
    <x:row r="14" ht="15" hidden="0" customHeight="1">
      <x:c r="A14" s="29" t="str">
        <x:v>Можно</x:v>
      </x:c>
      <x:c r="B14" s="29" t="str">
        <x:v>зеленый: расчет проходит</x:v>
      </x:c>
    </x:row>
    <x:row r="15" ht="26.399999618530273" hidden="0" customHeight="1">
      <x:c r="A15" s="26" t="str">
        <x:v>Можно при условиях</x:v>
      </x:c>
      <x:c r="B15" s="26" t="str">
        <x:v>желтый: запуск только при числовых условиях</x:v>
      </x:c>
    </x:row>
    <x:row r="16" ht="26.399999618530273" hidden="0" customHeight="1">
      <x:c r="A16" s="31" t="str">
        <x:v>Нельзя в текущей модели</x:v>
      </x:c>
      <x:c r="B16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5" t="str">
        <x:v>06 Управленческий ответ</x:v>
      </x:c>
      <x:c r="B1" s="5" t="str">
        <x:v>06 Управленческий ответ</x:v>
      </x:c>
    </x:row>
    <x:row r="2" ht="15" hidden="0" customHeight="1">
      <x:c r="A2" s="8" t="str">
        <x:v>Ответ формируется в управленческом языке: что разрешить, на каких условиях, что сказать адресату.</x:v>
      </x:c>
      <x:c r="B2" s="8" t="str">
        <x:v>Ответ формируется в управленческом языке: что разрешить, на каких условиях, что сказать адресату.</x:v>
      </x:c>
    </x:row>
    <x:row r="3"/>
    <x:row r="4" ht="15" hidden="0" customHeight="1">
      <x:c r="A4" s="13" t="str">
        <x:v>Блок ответа</x:v>
      </x:c>
      <x:c r="B4" s="13" t="str">
        <x:v>Текст</x:v>
      </x:c>
    </x:row>
    <x:row r="5" ht="26.399999618530273" hidden="0" customHeight="1">
      <x:c r="A5" s="29" t="str">
        <x:v>Короткий ответ</x:v>
      </x:c>
      <x:c r="B5" s="29" t="str">
        <x:f>"Решение можно запускать только если денежная потребность не выше "&amp;TEXT('01 Ввод'!C14,"#,##0")&amp;" руб. и чистый результат не ниже "&amp;TEXT('01 Ввод'!C15,"#,##0")&amp;" руб."</x:f>
        <x:v>Решение можно запускать только если денежная потребность не выше 7,000,000 руб. и чистый результат не ниже 1,000,000 руб.</x:v>
      </x:c>
    </x:row>
    <x:row r="6" ht="15" hidden="0" customHeight="1">
      <x:c r="A6" s="26" t="str">
        <x:v>Условия</x:v>
      </x:c>
      <x:c r="B6" s="26" t="str">
        <x:f>"Текущая денежная потребность: "&amp;TEXT('02 Расчет'!C10,"#,##0")&amp;" руб.; минимальная предоплата для лимита: "&amp;TEXT('02 Расчет'!C16,"0%")&amp;"."</x:f>
        <x:v>Текущая денежная потребность: 13,266,667 руб.; минимальная предоплата для лимита: 43%.</x:v>
      </x:c>
    </x:row>
    <x:row r="7" ht="26.399999618530273" hidden="0" customHeight="1">
      <x:c r="A7" s="26" t="str">
        <x:v>Пояснение</x:v>
      </x:c>
      <x:c r="B7" s="22" t="str">
        <x:f>"УМ отделяет прибыль на бумаге от денежной допустимости: решение может быть прибыльным, но запрещенным или ограниченным из-за кассового разрыва и налогового контура."</x:f>
        <x:v>УМ отделяет прибыль на бумаге от денежной допустимости: решение может быть прибыльным, но запрещенным или ограниченным из-за кассового разрыва и налогового контура.</x:v>
      </x:c>
    </x:row>
    <x:row r="8" ht="15" hidden="0" customHeight="1">
      <x:c r="A8" s="26" t="str">
        <x:v>Если условия не принимаются</x:v>
      </x:c>
      <x:c r="B8" s="26" t="str">
        <x:f>IF('05 Статус'!B10="Нельзя в текущей модели","Не запускать решение без изменения сроков оплаты, предоплаты или лимита.","Если клиент не принимает условия оплаты, решение переводится в статус ограниченного запуска или отказа.")</x:f>
        <x:v>Если клиент не принимает условия оплаты, решение переводится в статус ограниченного запуска или отказа.</x:v>
      </x:c>
    </x:row>
    <x:row r="9" ht="15" hidden="0" customHeight="1">
      <x:c r="A9" s="16" t="str">
        <x:v>Что нельзя говорить</x:v>
      </x:c>
      <x:c r="B9" s="16" t="str">
        <x:v>Не принимать решение только по P&amp;L / отчету о прибылях и убытках без денежного потока и налогового контура.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5" t="str">
        <x:v>07 Контроль исполнения</x:v>
      </x:c>
      <x:c r="B1" s="5" t="str">
        <x:v>07 Контроль исполнения</x:v>
      </x:c>
      <x:c r="C1" s="5" t="str">
        <x:v>07 Контроль исполнения</x:v>
      </x:c>
      <x:c r="D1" s="5" t="str">
        <x:v>07 Контроль исполнения</x:v>
      </x:c>
      <x:c r="E1" s="5" t="str">
        <x:v>07 Контроль исполнения</x:v>
      </x:c>
      <x:c r="F1" s="5" t="str">
        <x:v>07 Контроль исполнения</x:v>
      </x:c>
    </x:row>
    <x:row r="2" ht="15" hidden="0" customHeight="1">
      <x:c r="A2" s="8" t="str">
        <x:v>Контроль фиксирует показатель, порог, факт, статус, действие при отклонении и ответственного.</x:v>
      </x:c>
      <x:c r="B2" s="8" t="str">
        <x:v>Контроль фиксирует показатель, порог, факт, статус, действие при отклонении и ответственного.</x:v>
      </x:c>
      <x:c r="C2" s="8" t="str">
        <x:v>Контроль фиксирует показатель, порог, факт, статус, действие при отклонении и ответственного.</x:v>
      </x:c>
      <x:c r="D2" s="8" t="str">
        <x:v>Контроль фиксирует показатель, порог, факт, статус, действие при отклонении и ответственного.</x:v>
      </x:c>
      <x:c r="E2" s="8" t="str">
        <x:v>Контроль фиксирует показатель, порог, факт, статус, действие при отклонении и ответственного.</x:v>
      </x:c>
      <x:c r="F2" s="8" t="str">
        <x:v>Контроль фиксирует показатель, порог, факт, статус, действие при отклонении и ответственного.</x:v>
      </x:c>
    </x:row>
    <x:row r="3"/>
    <x:row r="4" ht="15" hidden="0" customHeight="1">
      <x:c r="A4" s="13" t="str">
        <x:v>Показатель контроля</x:v>
      </x:c>
      <x:c r="B4" s="13" t="str">
        <x:v>Порог</x:v>
      </x:c>
      <x:c r="C4" s="13" t="str">
        <x:v>Факт</x:v>
      </x:c>
      <x:c r="D4" s="13" t="str">
        <x:v>Статус</x:v>
      </x:c>
      <x:c r="E4" s="13" t="str">
        <x:v>Что делать при отклонении</x:v>
      </x:c>
      <x:c r="F4" s="13" t="str">
        <x:v>Ответственный</x:v>
      </x:c>
    </x:row>
    <x:row r="5" ht="15" hidden="0" customHeight="1">
      <x:c r="A5" s="16" t="str">
        <x:v>Денежная потребность</x:v>
      </x:c>
      <x:c r="B5" s="23" t="n">
        <x:f>'01 Ввод'!C14</x:f>
        <x:v>7000000</x:v>
      </x:c>
      <x:c r="C5" s="19"/>
      <x:c r="D5" s="16" t="str">
        <x:f>IF(C5="","ждет факта",IF(C5&lt;=B5,"ОК","Отклонение"))</x:f>
        <x:v>ждет факта</x:v>
      </x:c>
      <x:c r="E5" s="16" t="str">
        <x:v>Требовать предоплату или изменить график.</x:v>
      </x:c>
      <x:c r="F5" s="16" t="str">
        <x:v>Финансовый директор</x:v>
      </x:c>
    </x:row>
    <x:row r="6" ht="15" hidden="0" customHeight="1">
      <x:c r="A6" s="16" t="str">
        <x:v>Чистый результат</x:v>
      </x:c>
      <x:c r="B6" s="23" t="n">
        <x:f>'01 Ввод'!C15</x:f>
        <x:v>1000000</x:v>
      </x:c>
      <x:c r="C6" s="19"/>
      <x:c r="D6" s="16" t="str">
        <x:f>IF(C6="","ждет факта",IF(C6&gt;=B6,"ОК","Отклонение"))</x:f>
        <x:v>ждет факта</x:v>
      </x:c>
      <x:c r="E6" s="16" t="str">
        <x:v>Остановить решение или пересчитать цену.</x:v>
      </x:c>
      <x:c r="F6" s="16" t="str">
        <x:v>Финансовый директор</x:v>
      </x:c>
    </x:row>
    <x:row r="7" ht="15" hidden="0" customHeight="1">
      <x:c r="A7" s="16" t="str">
        <x:v>Предоплата</x:v>
      </x:c>
      <x:c r="B7" s="24" t="n">
        <x:f>'02 Расчет'!C16</x:f>
        <x:v>0.4280510018214937</x:v>
      </x:c>
      <x:c r="C7" s="20"/>
      <x:c r="D7" s="16" t="str">
        <x:f>IF(C7="","ждет факта",IF(C7&gt;=B7,"ОК","Отклонение"))</x:f>
        <x:v>ждет факта</x:v>
      </x:c>
      <x:c r="E7" s="16" t="str">
        <x:v>Зафиксировать предоплату договором.</x:v>
      </x:c>
      <x:c r="F7" s="16" t="str">
        <x:v>Коммерческий директор</x:v>
      </x:c>
    </x:row>
    <x:row r="8" ht="15" hidden="0" customHeight="1">
      <x:c r="A8" s="16" t="str">
        <x:v>Дата контроля</x:v>
      </x:c>
      <x:c r="B8" s="33" t="n">
        <x:f>'01 Ввод'!C17</x:f>
        <x:v>46235</x:v>
      </x:c>
      <x:c r="C8" s="21"/>
      <x:c r="D8" s="16" t="str">
        <x:f>IF(C8="","ждет факта",IF(C8&lt;=B8,"ОК","Отклонение"))</x:f>
        <x:v>ждет факта</x:v>
      </x:c>
      <x:c r="E8" s="16" t="str">
        <x:v>Проверить оплату, НДС и лимит.</x:v>
      </x:c>
      <x:c r="F8" s="16" t="str">
        <x:v>Финансовый директор</x:v>
      </x:c>
    </x:row>
  </x:sheetData>
  <x:mergeCells>
    <x:mergeCell ref="A1:F1"/>
    <x:mergeCell ref="A2:F2"/>
  </x:mergeCells>
  <x:conditionalFormatting sqref="D5:D8">
    <x:cfRule type="containsText" dxfId="12" priority="1" operator="containsText" text="Нельзя"/>
    <x:cfRule type="containsText" dxfId="13" priority="2" operator="containsText" text="Можно при условиях"/>
    <x:cfRule type="containsText" dxfId="14" priority="3" operator="containsText" text="Можно"/>
    <x:cfRule type="containsText" dxfId="15" priority="4" operator="containsText" text="ОК"/>
    <x:cfRule type="containsText" dxfId="16" priority="5" operator="containsText" text="Провал"/>
    <x:cfRule type="containsText" dxfId="17" priority="6" operator="containsText" text="услов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  <x:col min="3" max="3" width="62" hidden="0" customWidth="1"/>
  </x:cols>
  <x:sheetData>
    <x:row r="1" ht="18" hidden="0" customHeight="1">
      <x:c r="A1" s="5" t="str">
        <x:v>08 Проверка модели</x:v>
      </x:c>
      <x:c r="B1" s="5" t="str">
        <x:v>08 Проверка модели</x:v>
      </x:c>
      <x:c r="C1" s="5" t="str">
        <x:v>08 Проверка модели</x:v>
      </x:c>
    </x:row>
    <x:row r="2" ht="15" hidden="0" customHeight="1">
      <x:c r="A2" s="8" t="str">
        <x:v>Проверка подтверждает, что решатор является расчетной моделью, а не статическим примером.</x:v>
      </x:c>
      <x:c r="B2" s="8" t="str">
        <x:v>Проверка подтверждает, что решатор является расчетной моделью, а не статическим примером.</x:v>
      </x:c>
      <x:c r="C2" s="8" t="str">
        <x:v>Проверка подтверждает, что решатор является расчетной моделью, а не статическим примером.</x:v>
      </x:c>
    </x:row>
    <x:row r="3"/>
    <x:row r="4" ht="15" hidden="0" customHeight="1">
      <x:c r="A4" s="13" t="str">
        <x:v>Проверка</x:v>
      </x:c>
      <x:c r="B4" s="13" t="str">
        <x:v>Результат</x:v>
      </x:c>
      <x:c r="C4" s="13" t="str">
        <x:v>Комментарий</x:v>
      </x:c>
    </x:row>
    <x:row r="5" ht="15" hidden="0" customHeight="1">
      <x:c r="A5" s="16" t="str">
        <x:v>Статус рассчитан</x:v>
      </x:c>
      <x:c r="B5" s="22" t="str">
        <x:f>IF('05 Статус'!B10&lt;&gt;"","PASS","FAIL")</x:f>
        <x:v>PASS</x:v>
      </x:c>
      <x:c r="C5" s="16" t="str">
        <x:v>Статус не должен быть пустым.</x:v>
      </x:c>
    </x:row>
    <x:row r="6" ht="15" hidden="0" customHeight="1">
      <x:c r="A6" s="16" t="str">
        <x:v>Ключевой порог рассчитан</x:v>
      </x:c>
      <x:c r="B6" s="22" t="str">
        <x:f>IF(ISNUMBER('02 Расчет'!C16),"PASS","FAIL")</x:f>
        <x:v>PASS</x:v>
      </x:c>
      <x:c r="C6" s="16" t="str">
        <x:v>Главный порог должен быть числом.</x:v>
      </x:c>
    </x:row>
    <x:row r="7" ht="15" hidden="0" customHeight="1">
      <x:c r="A7" s="16" t="str">
        <x:v>Ответ сформирован</x:v>
      </x:c>
      <x:c r="B7" s="22" t="str">
        <x:f>IF('06 Ответ'!B5&lt;&gt;"","PASS","FAIL")</x:f>
        <x:v>PASS</x:v>
      </x:c>
      <x:c r="C7" s="16" t="str">
        <x:v>Управленческий ответ должен быть текстом.</x:v>
      </x:c>
    </x:row>
    <x:row r="8" ht="15" hidden="0" customHeight="1">
      <x:c r="A8" s="16" t="str">
        <x:v>Данные подтверждены или явно ограничены</x:v>
      </x:c>
      <x:c r="B8" s="22" t="str">
        <x:f>IF('01 Ввод'!C16="Да","PASS","FAIL")</x:f>
        <x:v>PASS</x:v>
      </x:c>
      <x:c r="C8" s="16" t="str">
        <x:v>Качество данных влияет на статус.</x:v>
      </x:c>
    </x:row>
    <x:row r="9" ht="15" hidden="0" customHeight="1">
      <x:c r="A9" s="16" t="str">
        <x:v>Нет отрицательной логики</x:v>
      </x:c>
      <x:c r="B9" s="22" t="str">
        <x:f>IF('02 Расчет'!C6&gt;=0,"PASS","FAIL")</x:f>
        <x:v>PASS</x:v>
      </x:c>
      <x:c r="C9" s="16" t="str">
        <x:v>Порог и результат должны быть управленчески интерпретируемы.</x:v>
      </x:c>
    </x:row>
    <x:row r="10" ht="15" hidden="0" customHeight="1">
      <x:c r="A10" s="16" t="str">
        <x:v>Модель готова к проверке</x:v>
      </x:c>
      <x:c r="B10" s="22" t="str">
        <x:f>IF(COUNTIF(B5:B9,"FAIL")=0,"PASS","FAIL")</x:f>
        <x:v>PASS</x:v>
      </x:c>
      <x:c r="C10" s="16" t="str">
        <x:v>Если все PASS, файл можно тестировать вручную.</x:v>
      </x:c>
    </x:row>
  </x:sheetData>
  <x:mergeCells>
    <x:mergeCell ref="A1:C1"/>
    <x:mergeCell ref="A2:C2"/>
  </x:mergeCells>
  <x:conditionalFormatting sqref="B5:B10">
    <x:cfRule type="containsText" dxfId="18" priority="1" operator="containsText" text="Нельзя"/>
    <x:cfRule type="containsText" dxfId="19" priority="2" operator="containsText" text="Можно при условиях"/>
    <x:cfRule type="containsText" dxfId="20" priority="3" operator="containsText" text="Можно"/>
    <x:cfRule type="containsText" dxfId="21" priority="4" operator="containsText" text="ОК"/>
    <x:cfRule type="containsText" dxfId="22" priority="5" operator="containsText" text="Провал"/>
    <x:cfRule type="containsText" dxfId="23" priority="6" operator="containsText" text="услов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74" t="str">
        <x:v>00 Каталог решаторов УМ</x:v>
      </x:c>
      <x:c r="B1" s="74" t="str">
        <x:v>00 Каталог решаторов УМ</x:v>
      </x:c>
      <x:c r="C1" s="74" t="str">
        <x:v>00 Каталог решаторов УМ</x:v>
      </x:c>
      <x:c r="D1" s="74" t="str">
        <x:v>00 Каталог решаторов УМ</x:v>
      </x:c>
      <x:c r="E1" s="74" t="str">
        <x:v>00 Каталог решаторов УМ</x:v>
      </x:c>
    </x:row>
    <x:row r="2" ht="15" hidden="0" customHeight="1">
      <x:c r="A2" s="76" t="str">
        <x:v>Навигационный лист: полный каталог типовых решаторов УМ / Управленческой математики и статус текущего файла.</x:v>
      </x:c>
      <x:c r="B2" s="76" t="str">
        <x:v>Навигационный лист: полный каталог типовых решаторов УМ / Управленческой математики и статус текущего файла.</x:v>
      </x:c>
      <x:c r="C2" s="76" t="str">
        <x:v>Навигационный лист: полный каталог типовых решаторов УМ / Управленческой математики и статус текущего файла.</x:v>
      </x:c>
      <x:c r="D2" s="76" t="str">
        <x:v>Навигационный лист: полный каталог типовых решаторов УМ / Управленческой математики и статус текущего файла.</x:v>
      </x:c>
      <x:c r="E2" s="7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81" t="str">
        <x:v>№</x:v>
      </x:c>
      <x:c r="B4" s="81" t="str">
        <x:v>Группа задач</x:v>
      </x:c>
      <x:c r="C4" s="81" t="str">
        <x:v>Название решатора</x:v>
      </x:c>
      <x:c r="D4" s="81" t="str">
        <x:v>Что показывает</x:v>
      </x:c>
      <x:c r="E4" s="81" t="str">
        <x:v>Статус</x:v>
      </x:c>
    </x:row>
    <x:row r="5" ht="15" hidden="0" customHeight="1">
      <x:c r="A5" s="82" t="n">
        <x:v>1</x:v>
      </x:c>
      <x:c r="B5" s="82" t="str">
        <x:v>Коммерческие условия</x:v>
      </x:c>
      <x:c r="C5" s="82" t="str">
        <x:v>Скидка и отсрочка клиента</x:v>
      </x:c>
      <x:c r="D5" s="82" t="str">
        <x:v>Какой рост закупки нужен, чтобы скидка и отсрочка не ухудшили результат.</x:v>
      </x:c>
      <x:c r="E5" s="82" t="str">
        <x:v>Создан</x:v>
      </x:c>
    </x:row>
    <x:row r="6" ht="15" hidden="0" customHeight="1">
      <x:c r="A6" s="82" t="n">
        <x:v>2</x:v>
      </x:c>
      <x:c r="B6" s="82" t="str">
        <x:v>Коммерческие условия</x:v>
      </x:c>
      <x:c r="C6" s="82" t="str">
        <x:v>Минимальный объем для спецусловий</x:v>
      </x:c>
      <x:c r="D6" s="82" t="str">
        <x:v>При каком объеме можно дать цену, бонус, отсрочку или индивидуальные условия.</x:v>
      </x:c>
      <x:c r="E6" s="82" t="str">
        <x:v>Создан</x:v>
      </x:c>
    </x:row>
    <x:row r="7" ht="15" hidden="0" customHeight="1">
      <x:c r="A7" s="82" t="n">
        <x:v>3</x:v>
      </x:c>
      <x:c r="B7" s="82" t="str">
        <x:v>Коммерческие условия</x:v>
      </x:c>
      <x:c r="C7" s="82" t="str">
        <x:v>Цена сделки после всех условий</x:v>
      </x:c>
      <x:c r="D7" s="82" t="str">
        <x:v>Реальную прибыльность клиента после скидок, бонусов, логистики и отсрочки.</x:v>
      </x:c>
      <x:c r="E7" s="82" t="str">
        <x:v>Создан</x:v>
      </x:c>
    </x:row>
    <x:row r="8" ht="15" hidden="0" customHeight="1">
      <x:c r="A8" s="82" t="n">
        <x:v>4</x:v>
      </x:c>
      <x:c r="B8" s="82" t="str">
        <x:v>Маркетинг и каналы</x:v>
      </x:c>
      <x:c r="C8" s="82" t="str">
        <x:v>Рекламный бюджет и ROMI / возврат маркетинговых инвестиций</x:v>
      </x:c>
      <x:c r="D8" s="82" t="str">
        <x:v>Какой объем продаж нужен, чтобы рекламный бюджет окупился.</x:v>
      </x:c>
      <x:c r="E8" s="82" t="str">
        <x:v>Создан</x:v>
      </x:c>
    </x:row>
    <x:row r="9" ht="15" hidden="0" customHeight="1">
      <x:c r="A9" s="82" t="n">
        <x:v>5</x:v>
      </x:c>
      <x:c r="B9" s="82" t="str">
        <x:v>Маркетинг и каналы</x:v>
      </x:c>
      <x:c r="C9" s="82" t="str">
        <x:v>Промо-акция без потери прибыли</x:v>
      </x:c>
      <x:c r="D9" s="82" t="str">
        <x:v>Какой рост продаж должен компенсировать скидку, промо и дополнительные расходы.</x:v>
      </x:c>
      <x:c r="E9" s="82" t="str">
        <x:v>Создан</x:v>
      </x:c>
    </x:row>
    <x:row r="10" ht="15" hidden="0" customHeight="1">
      <x:c r="A10" s="82" t="n">
        <x:v>6</x:v>
      </x:c>
      <x:c r="B10" s="82" t="str">
        <x:v>Маркетинг и каналы</x:v>
      </x:c>
      <x:c r="C10" s="82" t="str">
        <x:v>Канал продаж: выгодно или нет</x:v>
      </x:c>
      <x:c r="D10" s="82" t="str">
        <x:v>Чистый результат канала после комиссии, логистики, возвратов и налогового контура.</x:v>
      </x:c>
      <x:c r="E10" s="82" t="str">
        <x:v>Создан</x:v>
      </x:c>
    </x:row>
    <x:row r="11" ht="15" hidden="0" customHeight="1">
      <x:c r="A11" s="82" t="n">
        <x:v>7</x:v>
      </x:c>
      <x:c r="B11" s="82" t="str">
        <x:v>Маркетплейсы</x:v>
      </x:c>
      <x:c r="C11" s="82" t="str">
        <x:v>Маркетплейс: цена, комиссия, логистика</x:v>
      </x:c>
      <x:c r="D11" s="82" t="str">
        <x:v>Реальную маржу SKU / товарной позиции на маркетплейсе.</x:v>
      </x:c>
      <x:c r="E11" s="82" t="str">
        <x:v>Создан</x:v>
      </x:c>
    </x:row>
    <x:row r="12" ht="15" hidden="0" customHeight="1">
      <x:c r="A12" s="82" t="n">
        <x:v>8</x:v>
      </x:c>
      <x:c r="B12" s="82" t="str">
        <x:v>Маркетплейсы</x:v>
      </x:c>
      <x:c r="C12" s="82" t="str">
        <x:v>Участие в акции маркетплейса</x:v>
      </x:c>
      <x:c r="D12" s="82" t="str">
        <x:v>Можно ли входить в акцию и какой рост продаж нужен для сохранения результата.</x:v>
      </x:c>
      <x:c r="E12" s="82" t="str">
        <x:v>Создан</x:v>
      </x:c>
    </x:row>
    <x:row r="13" ht="15" hidden="0" customHeight="1">
      <x:c r="A13" s="82" t="n">
        <x:v>9</x:v>
      </x:c>
      <x:c r="B13" s="82" t="str">
        <x:v>Ассортимент и продукт</x:v>
      </x:c>
      <x:c r="C13" s="82" t="str">
        <x:v>SKU: оставить, поднять цену или убрать</x:v>
      </x:c>
      <x:c r="D13" s="82" t="str">
        <x:v>Какие товарные позиции создают результат, а какие съедают деньги.</x:v>
      </x:c>
      <x:c r="E13" s="82" t="str">
        <x:v>Создан</x:v>
      </x:c>
    </x:row>
    <x:row r="14" ht="15" hidden="0" customHeight="1">
      <x:c r="A14" s="82" t="n">
        <x:v>10</x:v>
      </x:c>
      <x:c r="B14" s="82" t="str">
        <x:v>Ассортимент и продукт</x:v>
      </x:c>
      <x:c r="C14" s="82" t="str">
        <x:v>Новый продукт: точка допустимого запуска</x:v>
      </x:c>
      <x:c r="D14" s="82" t="str">
        <x:v>Минимальный объем, цена и маржа для запуска продукта.</x:v>
      </x:c>
      <x:c r="E14" s="82" t="str">
        <x:v>Создан</x:v>
      </x:c>
    </x:row>
    <x:row r="15" ht="15" hidden="0" customHeight="1">
      <x:c r="A15" s="82" t="n">
        <x:v>11</x:v>
      </x:c>
      <x:c r="B15" s="82" t="str">
        <x:v>Операции и логистика</x:v>
      </x:c>
      <x:c r="C15" s="82" t="str">
        <x:v>Запас и оборачиваемость</x:v>
      </x:c>
      <x:c r="D15" s="82" t="str">
        <x:v>Сколько денег замораживает запас и где начинается лишняя складская нагрузка.</x:v>
      </x:c>
      <x:c r="E15" s="82" t="str">
        <x:v>Создан</x:v>
      </x:c>
    </x:row>
    <x:row r="16" ht="15" hidden="0" customHeight="1">
      <x:c r="A16" s="82" t="n">
        <x:v>12</x:v>
      </x:c>
      <x:c r="B16" s="82" t="str">
        <x:v>Операции и логистика</x:v>
      </x:c>
      <x:c r="C16" s="82" t="str">
        <x:v>Производственная партия</x:v>
      </x:c>
      <x:c r="D16" s="82" t="str">
        <x:v>При каком объеме партия покрывает себестоимость, брак, логистику и операционные ограничения.</x:v>
      </x:c>
      <x:c r="E16" s="82" t="str">
        <x:v>Создан</x:v>
      </x:c>
    </x:row>
    <x:row r="17" ht="15" hidden="0" customHeight="1">
      <x:c r="A17" s="82" t="n">
        <x:v>13</x:v>
      </x:c>
      <x:c r="B17" s="82" t="str">
        <x:v>Операции и логистика</x:v>
      </x:c>
      <x:c r="C17" s="82" t="str">
        <x:v>SLA / уровень сервиса и цена выполнения</x:v>
      </x:c>
      <x:c r="D17" s="82" t="str">
        <x:v>Сколько стоит повышенный уровень сервиса и можно ли его обещать клиенту.</x:v>
      </x:c>
      <x:c r="E17" s="82" t="str">
        <x:v>Создан</x:v>
      </x:c>
    </x:row>
    <x:row r="18" ht="15" hidden="0" customHeight="1">
      <x:c r="A18" s="85" t="n">
        <x:v>14</x:v>
      </x:c>
      <x:c r="B18" s="85" t="str">
        <x:v>Финансы и деньги</x:v>
      </x:c>
      <x:c r="C18" s="85" t="str">
        <x:v>Денежный разрыв по решению</x:v>
      </x:c>
      <x:c r="D18" s="85" t="str">
        <x:v>Сколько денег нужно до поступления оплаты и выдерживает ли компания кассовый контур.</x:v>
      </x:c>
      <x:c r="E18" s="85" t="str">
        <x:v>Текущий файл</x:v>
      </x:c>
    </x:row>
    <x:row r="19" ht="15" hidden="0" customHeight="1">
      <x:c r="A19" s="82" t="n">
        <x:v>15</x:v>
      </x:c>
      <x:c r="B19" s="82" t="str">
        <x:v>Финансы и деньги</x:v>
      </x:c>
      <x:c r="C19" s="82" t="str">
        <x:v>НДС и налоговый контур при ОСНО</x:v>
      </x:c>
      <x:c r="D19" s="82" t="str">
        <x:v>Как налоговый режим влияет на чистый результат и денежный поток.</x:v>
      </x:c>
      <x:c r="E19" s="82" t="str">
        <x:v>Создан</x:v>
      </x:c>
    </x:row>
    <x:row r="20" ht="15" hidden="0" customHeight="1">
      <x:c r="A20" s="82" t="n">
        <x:v>16</x:v>
      </x:c>
      <x:c r="B20" s="82" t="str">
        <x:v>Финансы и деньги</x:v>
      </x:c>
      <x:c r="C20" s="82" t="str">
        <x:v>ROI / возврат инвестиций и срок окупаемости</x:v>
      </x:c>
      <x:c r="D20" s="82" t="str">
        <x:v>Окупается ли вложение и при каких сценариях оно становится недопустимым.</x:v>
      </x:c>
      <x:c r="E20" s="82" t="str">
        <x:v>Создан</x:v>
      </x:c>
    </x:row>
    <x:row r="21" ht="15" hidden="0" customHeight="1">
      <x:c r="A21" s="82" t="n">
        <x:v>17</x:v>
      </x:c>
      <x:c r="B21" s="82" t="str">
        <x:v>Специальные решения</x:v>
      </x:c>
      <x:c r="C21" s="82" t="str">
        <x:v>TCO / совокупная стоимость владения проекта</x:v>
      </x:c>
      <x:c r="D21" s="82" t="str">
        <x:v>Полную стоимость решения: покупка, внедрение, поддержка, люди, риски.</x:v>
      </x:c>
      <x:c r="E21" s="82" t="str">
        <x:v>Создан</x:v>
      </x:c>
    </x:row>
    <x:row r="22" ht="15" hidden="0" customHeight="1">
      <x:c r="A22" s="82" t="n">
        <x:v>18</x:v>
      </x:c>
      <x:c r="B22" s="82" t="str">
        <x:v>Специальные решения</x:v>
      </x:c>
      <x:c r="C22" s="82" t="str">
        <x:v>Найм / подрядчик / автоматизация</x:v>
      </x:c>
      <x:c r="D22" s="82" t="str">
        <x:v>Что выгоднее: человек, подрядчик, автоматизация или отказ от инициативы.</x:v>
      </x:c>
      <x:c r="E22" s="82" t="str">
        <x:v>Создан</x:v>
      </x:c>
    </x:row>
    <x:row r="23"/>
    <x:row r="24" ht="15" hidden="0" customHeight="1">
      <x:c r="A24"/>
      <x:c r="B24"/>
      <x:c r="C24"/>
      <x:c r="D24"/>
      <x:c r="E24"/>
    </x:row>
    <x:row r="25" ht="15" hidden="0" customHeight="1">
      <x:c r="A25"/>
      <x:c r="B25"/>
      <x:c r="C25"/>
      <x:c r="D25"/>
      <x:c r="E25"/>
    </x:row>
    <x:row r="26" ht="15" hidden="0" customHeight="1">
      <x:c r="A26"/>
      <x:c r="B26"/>
      <x:c r="C26"/>
      <x:c r="D26"/>
      <x:c r="E26"/>
    </x:row>
  </x:sheetData>
  <x:mergeCells>
    <x:mergeCell ref="A1:E1"/>
    <x:mergeCell ref="A2:E2"/>
    <x:mergeCell ref="A24:E24"/>
    <x:mergeCell ref="A25:E25"/>
    <x:mergeCell ref="A26:E26"/>
  </x:mergeCells>
  <x:pageMargins left="0.7" right="0.7" top="0.75" bottom="0.75" header="0.3" footer="0.3"/>
</x:worksheet>
</file>