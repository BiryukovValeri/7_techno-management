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a5ea9a189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23696a115f8a4dc4"/>
    <x:sheet xmlns:r="http://schemas.openxmlformats.org/officeDocument/2006/relationships" name="01 Ввод" sheetId="2" r:id="R4236d4d756e44570"/>
    <x:sheet xmlns:r="http://schemas.openxmlformats.org/officeDocument/2006/relationships" name="02 Расчет" sheetId="3" r:id="Rebf59a80f6b84cfe"/>
    <x:sheet xmlns:r="http://schemas.openxmlformats.org/officeDocument/2006/relationships" name="03 Сценарии" sheetId="4" r:id="Rfbba9354f12748cc"/>
    <x:sheet xmlns:r="http://schemas.openxmlformats.org/officeDocument/2006/relationships" name="04 Контуры" sheetId="5" r:id="R0619b4b4eb384e10"/>
    <x:sheet xmlns:r="http://schemas.openxmlformats.org/officeDocument/2006/relationships" name="05 Статус" sheetId="6" r:id="Rca41ee0eafab40d1"/>
    <x:sheet xmlns:r="http://schemas.openxmlformats.org/officeDocument/2006/relationships" name="06 Ответ" sheetId="7" r:id="R8b7e6fa6bb734331"/>
    <x:sheet xmlns:r="http://schemas.openxmlformats.org/officeDocument/2006/relationships" name="07 Контроль" sheetId="8" r:id="Rb8a21a80fdec4494"/>
    <x:sheet xmlns:r="http://schemas.openxmlformats.org/officeDocument/2006/relationships" name="08 Проверка" sheetId="9" r:id="Re557e8c8b795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0251a293d4d91" /><Relationship Type="http://schemas.openxmlformats.org/officeDocument/2006/relationships/theme" Target="/xl/theme/theme1.xml" Id="Red63af528a774562" /><Relationship Type="http://schemas.openxmlformats.org/officeDocument/2006/relationships/sharedStrings" Target="/xl/sharedStrings.xml" Id="R2afb41ba08e14c80" /><Relationship Type="http://schemas.openxmlformats.org/officeDocument/2006/relationships/worksheet" Target="/xl/worksheets/sheet1.xml" Id="R23696a115f8a4dc4" /><Relationship Type="http://schemas.openxmlformats.org/officeDocument/2006/relationships/worksheet" Target="/xl/worksheets/sheet2.xml" Id="R4236d4d756e44570" /><Relationship Type="http://schemas.openxmlformats.org/officeDocument/2006/relationships/worksheet" Target="/xl/worksheets/sheet3.xml" Id="Rebf59a80f6b84cfe" /><Relationship Type="http://schemas.openxmlformats.org/officeDocument/2006/relationships/worksheet" Target="/xl/worksheets/sheet4.xml" Id="Rfbba9354f12748cc" /><Relationship Type="http://schemas.openxmlformats.org/officeDocument/2006/relationships/worksheet" Target="/xl/worksheets/sheet5.xml" Id="R0619b4b4eb384e10" /><Relationship Type="http://schemas.openxmlformats.org/officeDocument/2006/relationships/worksheet" Target="/xl/worksheets/sheet6.xml" Id="Rca41ee0eafab40d1" /><Relationship Type="http://schemas.openxmlformats.org/officeDocument/2006/relationships/worksheet" Target="/xl/worksheets/sheet7.xml" Id="R8b7e6fa6bb734331" /><Relationship Type="http://schemas.openxmlformats.org/officeDocument/2006/relationships/worksheet" Target="/xl/worksheets/sheet8.xml" Id="Rb8a21a80fdec4494" /><Relationship Type="http://schemas.openxmlformats.org/officeDocument/2006/relationships/worksheet" Target="/xl/worksheets/sheet9.xml" Id="Re557e8c8b795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6" t="str">
        <x:v>00 Каталог решаторов УМ</x:v>
      </x:c>
      <x:c r="B1" s="36" t="str">
        <x:v>00 Каталог решаторов УМ</x:v>
      </x:c>
      <x:c r="C1" s="36" t="str">
        <x:v>00 Каталог решаторов УМ</x:v>
      </x:c>
      <x:c r="D1" s="36" t="str">
        <x:v>00 Каталог решаторов УМ</x:v>
      </x:c>
      <x:c r="E1" s="36" t="str">
        <x:v>00 Каталог решаторов УМ</x:v>
      </x:c>
    </x:row>
    <x:row r="2" ht="15" hidden="0" customHeight="1">
      <x:c r="A2" s="38" t="str">
        <x:v>Навигационный лист: полный каталог типовых решаторов УМ / Управленческой математики и статус текущего файла.</x:v>
      </x:c>
      <x:c r="B2" s="38" t="str">
        <x:v>Навигационный лист: полный каталог типовых решаторов УМ / Управленческой математики и статус текущего файла.</x:v>
      </x:c>
      <x:c r="C2" s="38" t="str">
        <x:v>Навигационный лист: полный каталог типовых решаторов УМ / Управленческой математики и статус текущего файла.</x:v>
      </x:c>
      <x:c r="D2" s="38" t="str">
        <x:v>Навигационный лист: полный каталог типовых решаторов УМ / Управленческой математики и статус текущего файла.</x:v>
      </x:c>
      <x:c r="E2" s="38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3" t="str">
        <x:v>№</x:v>
      </x:c>
      <x:c r="B4" s="43" t="str">
        <x:v>Группа задач</x:v>
      </x:c>
      <x:c r="C4" s="43" t="str">
        <x:v>Название решатора</x:v>
      </x:c>
      <x:c r="D4" s="43" t="str">
        <x:v>Что показывает</x:v>
      </x:c>
      <x:c r="E4" s="43" t="str">
        <x:v>Статус</x:v>
      </x:c>
    </x:row>
    <x:row r="5" ht="15" hidden="0" customHeight="1">
      <x:c r="A5" s="44" t="n">
        <x:v>1</x:v>
      </x:c>
      <x:c r="B5" s="44" t="str">
        <x:v>Коммерческие условия</x:v>
      </x:c>
      <x:c r="C5" s="44" t="str">
        <x:v>Скидка и отсрочка клиента</x:v>
      </x:c>
      <x:c r="D5" s="44" t="str">
        <x:v>Какой рост закупки нужен, чтобы скидка и отсрочка не ухудшили результат.</x:v>
      </x:c>
      <x:c r="E5" s="44" t="str">
        <x:v>Создан</x:v>
      </x:c>
    </x:row>
    <x:row r="6" ht="15" hidden="0" customHeight="1">
      <x:c r="A6" s="44" t="n">
        <x:v>2</x:v>
      </x:c>
      <x:c r="B6" s="44" t="str">
        <x:v>Коммерческие условия</x:v>
      </x:c>
      <x:c r="C6" s="44" t="str">
        <x:v>Минимальный объем для спецусловий</x:v>
      </x:c>
      <x:c r="D6" s="44" t="str">
        <x:v>При каком объеме можно дать цену, бонус, отсрочку или индивидуальные условия.</x:v>
      </x:c>
      <x:c r="E6" s="44" t="str">
        <x:v>Создан</x:v>
      </x:c>
    </x:row>
    <x:row r="7" ht="15" hidden="0" customHeight="1">
      <x:c r="A7" s="44" t="n">
        <x:v>3</x:v>
      </x:c>
      <x:c r="B7" s="44" t="str">
        <x:v>Коммерческие условия</x:v>
      </x:c>
      <x:c r="C7" s="44" t="str">
        <x:v>Цена сделки после всех условий</x:v>
      </x:c>
      <x:c r="D7" s="44" t="str">
        <x:v>Реальную прибыльность клиента после скидок, бонусов, логистики и отсрочки.</x:v>
      </x:c>
      <x:c r="E7" s="44" t="str">
        <x:v>Создан</x:v>
      </x:c>
    </x:row>
    <x:row r="8" ht="15" hidden="0" customHeight="1">
      <x:c r="A8" s="44" t="n">
        <x:v>4</x:v>
      </x:c>
      <x:c r="B8" s="44" t="str">
        <x:v>Маркетинг и каналы</x:v>
      </x:c>
      <x:c r="C8" s="44" t="str">
        <x:v>Рекламный бюджет и ROMI / возврат маркетинговых инвестиций</x:v>
      </x:c>
      <x:c r="D8" s="44" t="str">
        <x:v>Какой объем продаж нужен, чтобы рекламный бюджет окупился.</x:v>
      </x:c>
      <x:c r="E8" s="44" t="str">
        <x:v>Создан</x:v>
      </x:c>
    </x:row>
    <x:row r="9" ht="15" hidden="0" customHeight="1">
      <x:c r="A9" s="44" t="n">
        <x:v>5</x:v>
      </x:c>
      <x:c r="B9" s="44" t="str">
        <x:v>Маркетинг и каналы</x:v>
      </x:c>
      <x:c r="C9" s="44" t="str">
        <x:v>Промо-акция без потери прибыли</x:v>
      </x:c>
      <x:c r="D9" s="44" t="str">
        <x:v>Какой рост продаж должен компенсировать скидку, промо и дополнительные расходы.</x:v>
      </x:c>
      <x:c r="E9" s="44" t="str">
        <x:v>Создан</x:v>
      </x:c>
    </x:row>
    <x:row r="10" ht="15" hidden="0" customHeight="1">
      <x:c r="A10" s="44" t="n">
        <x:v>6</x:v>
      </x:c>
      <x:c r="B10" s="44" t="str">
        <x:v>Маркетинг и каналы</x:v>
      </x:c>
      <x:c r="C10" s="44" t="str">
        <x:v>Канал продаж: выгодно или нет</x:v>
      </x:c>
      <x:c r="D10" s="44" t="str">
        <x:v>Чистый результат канала после комиссии, логистики, возвратов и налогового контура.</x:v>
      </x:c>
      <x:c r="E10" s="44" t="str">
        <x:v>Создан</x:v>
      </x:c>
    </x:row>
    <x:row r="11" ht="15" hidden="0" customHeight="1">
      <x:c r="A11" s="44" t="n">
        <x:v>7</x:v>
      </x:c>
      <x:c r="B11" s="44" t="str">
        <x:v>Маркетплейсы</x:v>
      </x:c>
      <x:c r="C11" s="44" t="str">
        <x:v>Маркетплейс: цена, комиссия, логистика</x:v>
      </x:c>
      <x:c r="D11" s="44" t="str">
        <x:v>Реальную маржу SKU / товарной позиции на маркетплейсе.</x:v>
      </x:c>
      <x:c r="E11" s="44" t="str">
        <x:v>Создан</x:v>
      </x:c>
    </x:row>
    <x:row r="12" ht="15" hidden="0" customHeight="1">
      <x:c r="A12" s="44" t="n">
        <x:v>8</x:v>
      </x:c>
      <x:c r="B12" s="44" t="str">
        <x:v>Маркетплейсы</x:v>
      </x:c>
      <x:c r="C12" s="44" t="str">
        <x:v>Участие в акции маркетплейса</x:v>
      </x:c>
      <x:c r="D12" s="44" t="str">
        <x:v>Можно ли входить в акцию и какой рост продаж нужен для сохранения результата.</x:v>
      </x:c>
      <x:c r="E12" s="44" t="str">
        <x:v>Создан</x:v>
      </x:c>
    </x:row>
    <x:row r="13" ht="15" hidden="0" customHeight="1">
      <x:c r="A13" s="44" t="n">
        <x:v>9</x:v>
      </x:c>
      <x:c r="B13" s="44" t="str">
        <x:v>Ассортимент и продукт</x:v>
      </x:c>
      <x:c r="C13" s="44" t="str">
        <x:v>SKU: оставить, поднять цену или убрать</x:v>
      </x:c>
      <x:c r="D13" s="44" t="str">
        <x:v>Какие товарные позиции создают результат, а какие съедают деньги.</x:v>
      </x:c>
      <x:c r="E13" s="44" t="str">
        <x:v>Создан</x:v>
      </x:c>
    </x:row>
    <x:row r="14" ht="15" hidden="0" customHeight="1">
      <x:c r="A14" s="44" t="n">
        <x:v>10</x:v>
      </x:c>
      <x:c r="B14" s="44" t="str">
        <x:v>Ассортимент и продукт</x:v>
      </x:c>
      <x:c r="C14" s="44" t="str">
        <x:v>Новый продукт: точка допустимого запуска</x:v>
      </x:c>
      <x:c r="D14" s="44" t="str">
        <x:v>Минимальный объем, цена и маржа для запуска продукта.</x:v>
      </x:c>
      <x:c r="E14" s="44" t="str">
        <x:v>Создан</x:v>
      </x:c>
    </x:row>
    <x:row r="15" ht="15" hidden="0" customHeight="1">
      <x:c r="A15" s="44" t="n">
        <x:v>11</x:v>
      </x:c>
      <x:c r="B15" s="44" t="str">
        <x:v>Операции и логистика</x:v>
      </x:c>
      <x:c r="C15" s="44" t="str">
        <x:v>Запас и оборачиваемость</x:v>
      </x:c>
      <x:c r="D15" s="44" t="str">
        <x:v>Сколько денег замораживает запас и где начинается лишняя складская нагрузка.</x:v>
      </x:c>
      <x:c r="E15" s="44" t="str">
        <x:v>Создан</x:v>
      </x:c>
    </x:row>
    <x:row r="16" ht="15" hidden="0" customHeight="1">
      <x:c r="A16" s="44" t="n">
        <x:v>12</x:v>
      </x:c>
      <x:c r="B16" s="44" t="str">
        <x:v>Операции и логистика</x:v>
      </x:c>
      <x:c r="C16" s="44" t="str">
        <x:v>Производственная партия</x:v>
      </x:c>
      <x:c r="D16" s="44" t="str">
        <x:v>При каком объеме партия покрывает себестоимость, брак, логистику и операционные ограничения.</x:v>
      </x:c>
      <x:c r="E16" s="44" t="str">
        <x:v>Создан</x:v>
      </x:c>
    </x:row>
    <x:row r="17" ht="15" hidden="0" customHeight="1">
      <x:c r="A17" s="47" t="n">
        <x:v>13</x:v>
      </x:c>
      <x:c r="B17" s="47" t="str">
        <x:v>Операции и логистика</x:v>
      </x:c>
      <x:c r="C17" s="47" t="str">
        <x:v>SLA / уровень сервиса и цена выполнения</x:v>
      </x:c>
      <x:c r="D17" s="47" t="str">
        <x:v>Сколько стоит повышенный уровень сервиса и можно ли его обещать клиенту.</x:v>
      </x:c>
      <x:c r="E17" s="47" t="str">
        <x:v>Текущий файл</x:v>
      </x:c>
    </x:row>
    <x:row r="18" ht="15" hidden="0" customHeight="1">
      <x:c r="A18" s="44" t="n">
        <x:v>14</x:v>
      </x:c>
      <x:c r="B18" s="44" t="str">
        <x:v>Финансы и деньги</x:v>
      </x:c>
      <x:c r="C18" s="44" t="str">
        <x:v>Денежный разрыв по решению</x:v>
      </x:c>
      <x:c r="D18" s="44" t="str">
        <x:v>Сколько денег нужно до поступления оплаты и выдерживает ли компания кассовый контур.</x:v>
      </x:c>
      <x:c r="E18" s="44" t="str">
        <x:v>Создан</x:v>
      </x:c>
    </x:row>
    <x:row r="19" ht="15" hidden="0" customHeight="1">
      <x:c r="A19" s="44" t="n">
        <x:v>15</x:v>
      </x:c>
      <x:c r="B19" s="44" t="str">
        <x:v>Финансы и деньги</x:v>
      </x:c>
      <x:c r="C19" s="44" t="str">
        <x:v>НДС и налоговый контур при ОСНО</x:v>
      </x:c>
      <x:c r="D19" s="44" t="str">
        <x:v>Как налоговый режим влияет на чистый результат и денежный поток.</x:v>
      </x:c>
      <x:c r="E19" s="44" t="str">
        <x:v>Создан</x:v>
      </x:c>
    </x:row>
    <x:row r="20" ht="15" hidden="0" customHeight="1">
      <x:c r="A20" s="44" t="n">
        <x:v>16</x:v>
      </x:c>
      <x:c r="B20" s="44" t="str">
        <x:v>Финансы и деньги</x:v>
      </x:c>
      <x:c r="C20" s="44" t="str">
        <x:v>ROI / возврат инвестиций и срок окупаемости</x:v>
      </x:c>
      <x:c r="D20" s="44" t="str">
        <x:v>Окупается ли вложение и при каких сценариях оно становится недопустимым.</x:v>
      </x:c>
      <x:c r="E20" s="44" t="str">
        <x:v>Создан</x:v>
      </x:c>
    </x:row>
    <x:row r="21" ht="15" hidden="0" customHeight="1">
      <x:c r="A21" s="44" t="n">
        <x:v>17</x:v>
      </x:c>
      <x:c r="B21" s="44" t="str">
        <x:v>Специальные решения</x:v>
      </x:c>
      <x:c r="C21" s="44" t="str">
        <x:v>TCO / совокупная стоимость владения проекта</x:v>
      </x:c>
      <x:c r="D21" s="44" t="str">
        <x:v>Полную стоимость решения: покупка, внедрение, поддержка, люди, риски.</x:v>
      </x:c>
      <x:c r="E21" s="44" t="str">
        <x:v>Создан</x:v>
      </x:c>
    </x:row>
    <x:row r="22" ht="15" hidden="0" customHeight="1">
      <x:c r="A22" s="44" t="n">
        <x:v>18</x:v>
      </x:c>
      <x:c r="B22" s="44" t="str">
        <x:v>Специальные решения</x:v>
      </x:c>
      <x:c r="C22" s="44" t="str">
        <x:v>Найм / подрядчик / автоматизация</x:v>
      </x:c>
      <x:c r="D22" s="44" t="str">
        <x:v>Что выгоднее: человек, подрядчик, автоматизация или отказ от инициативы.</x:v>
      </x:c>
      <x:c r="E22" s="44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SLA / уровень сервиса и цена выполнения</x:v>
      </x:c>
      <x:c r="B1" s="4" t="str">
        <x:v>УМ решатор: SLA / уровень сервиса и цена выполнения</x:v>
      </x:c>
      <x:c r="C1" s="4" t="str">
        <x:v>УМ решатор: SLA / уровень сервиса и цена выполнения</x:v>
      </x:c>
      <x:c r="D1" s="4" t="str">
        <x:v>УМ решатор: SLA / уровень сервиса и цена выполнения</x:v>
      </x:c>
      <x:c r="E1" s="4" t="str">
        <x:v>УМ решатор: SLA / уровень сервиса и цена выполнения</x:v>
      </x:c>
      <x:c r="F1" s="4" t="str">
        <x:v>УМ решатор: SLA / уровень сервиса и цена выполнения</x:v>
      </x:c>
    </x:row>
    <x:row r="2" ht="15" hidden="0" customHeight="1">
      <x:c r="A2" s="6" t="str">
        <x:v>Показывает, сколько стоит повышенный уровень сервиса и можно ли обещать его клиенту без разрушения результата.</x:v>
      </x:c>
      <x:c r="B2" s="6" t="str">
        <x:v>Показывает, сколько стоит повышенный уровень сервиса и можно ли обещать его клиенту без разрушения результата.</x:v>
      </x:c>
      <x:c r="C2" s="6" t="str">
        <x:v>Показывает, сколько стоит повышенный уровень сервиса и можно ли обещать его клиенту без разрушения результата.</x:v>
      </x:c>
      <x:c r="D2" s="6" t="str">
        <x:v>Показывает, сколько стоит повышенный уровень сервиса и можно ли обещать его клиенту без разрушения результата.</x:v>
      </x:c>
      <x:c r="E2" s="6" t="str">
        <x:v>Показывает, сколько стоит повышенный уровень сервиса и можно ли обещать его клиенту без разрушения результата.</x:v>
      </x:c>
      <x:c r="F2" s="6" t="str">
        <x:v>Показывает, сколько стоит повышенный уровень сервиса и можно ли обещать его клиенту без разрушения результата.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Клиент</x:v>
      </x:c>
      <x:c r="B5" s="13" t="str">
        <x:v>Выручка клиента без НДС</x:v>
      </x:c>
      <x:c r="C5" s="19" t="n">
        <x:v>6000000</x:v>
      </x:c>
      <x:c r="D5" s="13" t="str">
        <x:v>руб.</x:v>
      </x:c>
      <x:c r="E5" s="13" t="str">
        <x:v>Выручка периода.</x:v>
      </x:c>
      <x:c r="F5" s="13" t="str">
        <x:v>Ввод</x:v>
      </x:c>
    </x:row>
    <x:row r="6" ht="15" hidden="0" customHeight="1">
      <x:c r="A6" s="13" t="str">
        <x:v>Маржа</x:v>
      </x:c>
      <x:c r="B6" s="13" t="str">
        <x:v>Текущая валовая маржа</x:v>
      </x:c>
      <x:c r="C6" s="20" t="n">
        <x:v>0.28</x:v>
      </x:c>
      <x:c r="D6" s="13" t="str">
        <x:v>%</x:v>
      </x:c>
      <x:c r="E6" s="13" t="str">
        <x:v>Маржа до повышения сервиса.</x:v>
      </x:c>
      <x:c r="F6" s="13" t="str">
        <x:v>Ввод</x:v>
      </x:c>
    </x:row>
    <x:row r="7" ht="15" hidden="0" customHeight="1">
      <x:c r="A7" s="13" t="str">
        <x:v>SLA</x:v>
      </x:c>
      <x:c r="B7" s="13" t="str">
        <x:v>Дополнительные часы сервиса</x:v>
      </x:c>
      <x:c r="C7" s="19" t="n">
        <x:v>120</x:v>
      </x:c>
      <x:c r="D7" s="13" t="str">
        <x:v>час.</x:v>
      </x:c>
      <x:c r="E7" s="13" t="str">
        <x:v>Дополнительная нагрузка.</x:v>
      </x:c>
      <x:c r="F7" s="13" t="str">
        <x:v>Ввод</x:v>
      </x:c>
    </x:row>
    <x:row r="8" ht="15" hidden="0" customHeight="1">
      <x:c r="A8" s="13" t="str">
        <x:v>SLA</x:v>
      </x:c>
      <x:c r="B8" s="13" t="str">
        <x:v>Стоимость часа сервиса</x:v>
      </x:c>
      <x:c r="C8" s="19" t="n">
        <x:v>2500</x:v>
      </x:c>
      <x:c r="D8" s="13" t="str">
        <x:v>руб.</x:v>
      </x:c>
      <x:c r="E8" s="13" t="str">
        <x:v>Полная стоимость часа.</x:v>
      </x:c>
      <x:c r="F8" s="13" t="str">
        <x:v>Ввод</x:v>
      </x:c>
    </x:row>
    <x:row r="9" ht="15" hidden="0" customHeight="1">
      <x:c r="A9" s="13" t="str">
        <x:v>SLA</x:v>
      </x:c>
      <x:c r="B9" s="13" t="str">
        <x:v>Дополнительная логистика</x:v>
      </x:c>
      <x:c r="C9" s="19" t="n">
        <x:v>180000</x:v>
      </x:c>
      <x:c r="D9" s="13" t="str">
        <x:v>руб.</x:v>
      </x:c>
      <x:c r="E9" s="13" t="str">
        <x:v>Расходы на уровень сервиса.</x:v>
      </x:c>
      <x:c r="F9" s="13" t="str">
        <x:v>Ввод</x:v>
      </x:c>
    </x:row>
    <x:row r="10" ht="15" hidden="0" customHeight="1">
      <x:c r="A10" s="13" t="str">
        <x:v>Цена</x:v>
      </x:c>
      <x:c r="B10" s="13" t="str">
        <x:v>Доплата клиента за SLA</x:v>
      </x:c>
      <x:c r="C10" s="19" t="n">
        <x:v>250000</x:v>
      </x:c>
      <x:c r="D10" s="13" t="str">
        <x:v>руб.</x:v>
      </x:c>
      <x:c r="E10" s="13" t="str">
        <x:v>Дополнительная цена / fee.</x:v>
      </x:c>
      <x:c r="F10" s="13" t="str">
        <x:v>Ввод</x:v>
      </x:c>
    </x:row>
    <x:row r="11" ht="15" hidden="0" customHeight="1">
      <x:c r="A11" s="13" t="str">
        <x:v>Порог</x:v>
      </x:c>
      <x:c r="B11" s="13" t="str">
        <x:v>Минимальная маржа после SLA</x:v>
      </x:c>
      <x:c r="C11" s="20" t="n">
        <x:v>0.22</x:v>
      </x:c>
      <x:c r="D11" s="13" t="str">
        <x:v>%</x:v>
      </x:c>
      <x:c r="E11" s="13" t="str">
        <x:v>Порог маржи.</x:v>
      </x:c>
      <x:c r="F11" s="13" t="str">
        <x:v>Ввод</x:v>
      </x:c>
    </x:row>
    <x:row r="12" ht="15" hidden="0" customHeight="1">
      <x:c r="A12" s="13" t="str">
        <x:v>Данные</x:v>
      </x:c>
      <x:c r="B12" s="13" t="str">
        <x:v>SLA подтвержден операциями</x:v>
      </x:c>
      <x:c r="C12" s="18" t="str">
        <x:v>Да</x:v>
      </x:c>
      <x:c r="D12" s="13" t="str">
        <x:v>Да/Нет</x:v>
      </x:c>
      <x:c r="E12" s="13" t="str">
        <x:v>Готовность исполнения.</x:v>
      </x:c>
      <x:c r="F12" s="13" t="str">
        <x:v>Ввод</x:v>
      </x:c>
    </x:row>
    <x:row r="13" ht="15" hidden="0" customHeight="1">
      <x:c r="A13" s="13" t="str">
        <x:v>Контроль</x:v>
      </x:c>
      <x:c r="B13" s="13" t="str">
        <x:v>Дата контроля</x:v>
      </x:c>
      <x:c r="C13" s="21" t="n">
        <x:v>46239</x:v>
      </x:c>
      <x:c r="D13" s="13" t="str">
        <x:v>дата</x:v>
      </x:c>
      <x:c r="E13" s="13" t="str">
        <x:v>Дата проверки SLA.</x:v>
      </x:c>
      <x:c r="F13" s="13" t="str">
        <x:v>Ввод</x:v>
      </x:c>
    </x:row>
    <x:row r="14" ht="15" hidden="0" customHeight="1">
      <x:c r="A14" s="13" t="str">
        <x:v>Ответственный</x:v>
      </x:c>
      <x:c r="B14" s="13" t="str">
        <x:v>Операционный директор</x:v>
      </x:c>
      <x:c r="C14" s="18" t="str">
        <x:v>Операционный директор</x:v>
      </x:c>
      <x:c r="D14" s="13" t="str">
        <x:v>роль</x:v>
      </x:c>
      <x:c r="E14" s="13" t="str">
        <x:v>Владелец сервиса.</x:v>
      </x:c>
      <x:c r="F14" s="13" t="str">
        <x:v>Ввод</x:v>
      </x:c>
    </x:row>
  </x:sheetData>
  <x:mergeCells>
    <x:mergeCell ref="A1:F1"/>
    <x:mergeCell ref="A2:F2"/>
  </x:mergeCells>
  <x:dataValidations count="1">
    <x:dataValidation type="list" sqref="C12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База</x:v>
      </x:c>
      <x:c r="B5" s="13" t="str">
        <x:v>Текущий валовый результат</x:v>
      </x:c>
      <x:c r="C5" s="23" t="n">
        <x:f>'01 Ввод'!C5*'01 Ввод'!C6</x:f>
        <x:v>1680000.0000000002</x:v>
      </x:c>
      <x:c r="D5" s="13" t="str">
        <x:v>руб.</x:v>
      </x:c>
      <x:c r="E5" s="13" t="str">
        <x:v>Выручка × маржа.</x:v>
      </x:c>
    </x:row>
    <x:row r="6" ht="15" hidden="0" customHeight="1">
      <x:c r="A6" s="13" t="str">
        <x:v>SLA</x:v>
      </x:c>
      <x:c r="B6" s="13" t="str">
        <x:v>Стоимость дополнительного сервиса</x:v>
      </x:c>
      <x:c r="C6" s="23" t="n">
        <x:f>'01 Ввод'!C7*'01 Ввод'!C8+'01 Ввод'!C9</x:f>
        <x:v>480000</x:v>
      </x:c>
      <x:c r="D6" s="13" t="str">
        <x:v>руб.</x:v>
      </x:c>
      <x:c r="E6" s="13" t="str">
        <x:v>Часы × ставка + логистика.</x:v>
      </x:c>
    </x:row>
    <x:row r="7" ht="15" hidden="0" customHeight="1">
      <x:c r="A7" s="13" t="str">
        <x:v>SLA</x:v>
      </x:c>
      <x:c r="B7" s="13" t="str">
        <x:v>Результат после SLA</x:v>
      </x:c>
      <x:c r="C7" s="23" t="n">
        <x:f>C5+'01 Ввод'!C10-C6</x:f>
        <x:v>1450000.0000000002</x:v>
      </x:c>
      <x:c r="D7" s="13" t="str">
        <x:v>руб.</x:v>
      </x:c>
      <x:c r="E7" s="13" t="str">
        <x:v>База + доплата - стоимость SLA.</x:v>
      </x:c>
    </x:row>
    <x:row r="8" ht="15" hidden="0" customHeight="1">
      <x:c r="A8" s="13" t="str">
        <x:v>SLA</x:v>
      </x:c>
      <x:c r="B8" s="13" t="str">
        <x:v>Маржа после SLA</x:v>
      </x:c>
      <x:c r="C8" s="24" t="n">
        <x:f>IFERROR(C7/('01 Ввод'!C5+'01 Ввод'!C10),0)</x:f>
        <x:v>0.23200000000000004</x:v>
      </x:c>
      <x:c r="D8" s="13" t="str">
        <x:v>%</x:v>
      </x:c>
      <x:c r="E8" s="13" t="str">
        <x:v>Результат / выручка с доплатой.</x:v>
      </x:c>
    </x:row>
    <x:row r="9" ht="15" hidden="0" customHeight="1">
      <x:c r="A9" s="13" t="str">
        <x:v>Цена</x:v>
      </x:c>
      <x:c r="B9" s="13" t="str">
        <x:v>Минимальная доплата за SLA</x:v>
      </x:c>
      <x:c r="C9" s="23" t="n">
        <x:f>MAX(0,C6-('02 Расчет'!C5-'01 Ввод'!C5*'01 Ввод'!C11))</x:f>
        <x:v>119999.99999999977</x:v>
      </x:c>
      <x:c r="D9" s="13" t="str">
        <x:v>руб.</x:v>
      </x:c>
      <x:c r="E9" s="13" t="str">
        <x:v>Доплата, чтобы сохранить порог маржи.</x:v>
      </x:c>
    </x:row>
    <x:row r="10" ht="15" hidden="0" customHeight="1">
      <x:c r="A10" s="13" t="str">
        <x:v>Дельта</x:v>
      </x:c>
      <x:c r="B10" s="13" t="str">
        <x:v>Дельта к текущему результату</x:v>
      </x:c>
      <x:c r="C10" s="23" t="n">
        <x:f>C7-C5</x:f>
        <x:v>-230000</x:v>
      </x:c>
      <x:c r="D10" s="13" t="str">
        <x:v>руб.</x:v>
      </x:c>
      <x:c r="E10" s="13" t="str">
        <x:v>Результат после SLA - база.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Без SLA</x:v>
      </x:c>
      <x:c r="B5" s="25" t="n">
        <x:f>0</x:f>
        <x:v>0</x:v>
      </x:c>
      <x:c r="C5" s="25" t="n">
        <x:f>'02 Расчет'!C5</x:f>
        <x:v>1680000.0000000002</x:v>
      </x:c>
      <x:c r="D5" s="25" t="n">
        <x:f>C5</x:f>
        <x:v>1680000.0000000002</x:v>
      </x:c>
      <x:c r="E5" s="13" t="str">
        <x:f>IF(C5&gt;=0,"проходит","не проходит")</x:f>
        <x:v>проходит</x:v>
      </x:c>
    </x:row>
    <x:row r="6" ht="15" hidden="0" customHeight="1">
      <x:c r="A6" s="13" t="str">
        <x:v>Текущая доплата</x:v>
      </x:c>
      <x:c r="B6" s="25" t="n">
        <x:f>'01 Ввод'!C10</x:f>
        <x:v>250000</x:v>
      </x:c>
      <x:c r="C6" s="25" t="n">
        <x:f>'02 Расчет'!C7</x:f>
        <x:v>1450000.0000000002</x:v>
      </x:c>
      <x:c r="D6" s="25" t="n">
        <x:f>C6</x:f>
        <x:v>1450000.0000000002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Минимальная доплата</x:v>
      </x:c>
      <x:c r="B7" s="25" t="n">
        <x:f>'02 Расчет'!C9</x:f>
        <x:v>119999.99999999977</x:v>
      </x:c>
      <x:c r="C7" s="25" t="n">
        <x:f>'02 Расчет'!C5+B7-'02 Расчет'!C6</x:f>
        <x:v>1320000</x:v>
      </x:c>
      <x:c r="D7" s="25" t="n">
        <x:f>C7</x:f>
        <x:v>1320000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Часы +25%</x:v>
      </x:c>
      <x:c r="B8" s="25" t="n">
        <x:f>'01 Ввод'!C7*1.25</x:f>
        <x:v>150</x:v>
      </x:c>
      <x:c r="C8" s="25" t="n">
        <x:f>'02 Расчет'!C5+'01 Ввод'!C10-(B8*'01 Ввод'!C8+'01 Ввод'!C9)</x:f>
        <x:v>1375000.0000000002</x:v>
      </x:c>
      <x:c r="D8" s="25" t="n">
        <x:f>C8</x:f>
        <x:v>1375000.0000000002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Без доплаты</x:v>
      </x:c>
      <x:c r="B9" s="25" t="n">
        <x:f>0</x:f>
        <x:v>0</x:v>
      </x:c>
      <x:c r="C9" s="25" t="n">
        <x:f>'02 Расчет'!C5-'02 Расчет'!C6</x:f>
        <x:v>1200000.0000000002</x:v>
      </x:c>
      <x:c r="D9" s="25" t="n">
        <x:f>C9</x:f>
        <x:v>1200000.0000000002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Маржа</x:v>
      </x:c>
      <x:c r="B5" s="13" t="str">
        <x:v>Маржа после SLA проходит порог</x:v>
      </x:c>
      <x:c r="C5" s="13" t="str">
        <x:f>IF('02 Расчет'!C8&gt;='01 Ввод'!C11,"ОК","Провал")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Операции</x:v>
      </x:c>
      <x:c r="B6" s="13" t="str">
        <x:v>SLA подтвержден операциями</x:v>
      </x:c>
      <x:c r="C6" s="13" t="str">
        <x:f>IF('01 Ввод'!C12="Да","ОК","Провал")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Деньги</x:v>
      </x:c>
      <x:c r="B7" s="13" t="str">
        <x:v>Дельта результата не отрицательная</x:v>
      </x:c>
      <x:c r="C7" s="13" t="str">
        <x:f>IF('02 Расчет'!C10&gt;=0,"ОК","Провал")</x:f>
        <x:v>Провал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Маржа после SLA</x:v>
      </x:c>
      <x:c r="B5" s="24" t="n">
        <x:f>'02 Расчет'!C8</x:f>
        <x:v>0.23200000000000004</x:v>
      </x:c>
      <x:c r="C5" s="13" t="str">
        <x:v>Порог маржи.</x:v>
      </x:c>
    </x:row>
    <x:row r="6" ht="15" hidden="0" customHeight="1">
      <x:c r="A6" s="13" t="str">
        <x:v>Минимальная доплата</x:v>
      </x:c>
      <x:c r="B6" s="23" t="n">
        <x:f>'02 Расчет'!C9</x:f>
        <x:v>119999.99999999977</x:v>
      </x:c>
      <x:c r="C6" s="13" t="str">
        <x:v>Требуемая цена SLA.</x:v>
      </x:c>
    </x:row>
    <x:row r="7" ht="15" hidden="0" customHeight="1">
      <x:c r="A7" s="13" t="str">
        <x:v>Дельта результата</x:v>
      </x:c>
      <x:c r="B7" s="23" t="n">
        <x:f>'02 Расчет'!C10</x:f>
        <x:v>-230000</x:v>
      </x:c>
      <x:c r="C7" s="13" t="str">
        <x:v>Проверка результата.</x:v>
      </x:c>
    </x:row>
    <x:row r="8" ht="15" hidden="0" customHeight="1">
      <x:c r="A8" s="13" t="str">
        <x:v>SLA подтвержден</x:v>
      </x:c>
      <x:c r="B8" s="22" t="str">
        <x:f>'01 Ввод'!C12</x:f>
        <x:v>Да</x:v>
      </x:c>
      <x:c r="C8" s="13" t="str">
        <x:v>Да/Нет.</x:v>
      </x:c>
    </x:row>
    <x:row r="9" ht="15" hidden="0" customHeight="1">
      <x:c r="A9" s="27" t="str">
        <x:v>Статус решения</x:v>
      </x:c>
      <x:c r="B9" s="27" t="str">
        <x:f>IF(AND(B5&gt;='01 Ввод'!C11,B7&gt;=0,B8="Да"),"Можно",IF(AND(B5&gt;='01 Ввод'!C11,B8="Нет"),"Можно при условиях","Нельзя в текущей модели"))</x:f>
        <x:v>Нельзя в текущей модели</x:v>
      </x:c>
      <x:c r="C9" s="27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7" t="str">
        <x:v>Можно при условиях</x:v>
      </x:c>
      <x:c r="B14" s="27" t="str">
        <x:v>желтый: запуск только при числовых условиях</x:v>
      </x:c>
    </x:row>
    <x:row r="15" ht="26.399999618530273" hidden="0" customHeight="1">
      <x:c r="A15" s="30" t="str">
        <x:v>Нельзя в текущей модели</x:v>
      </x:c>
      <x:c r="B15" s="30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"Повышенный SLA / уровень сервиса допустим при доплате не ниже "&amp;TEXT('02 Расчет'!C9,"#,##0")&amp;" руб. и подтверждении операций."</x:f>
        <x:v>Повышенный SLA / уровень сервиса допустим при доплате не ниже 120,000 руб. и подтверждении операций.</x:v>
      </x:c>
    </x:row>
    <x:row r="6" ht="15" hidden="0" customHeight="1">
      <x:c r="A6" s="26" t="str">
        <x:v>Условия</x:v>
      </x:c>
      <x:c r="B6" s="26" t="str">
        <x:f>"Маржа после SLA: "&amp;TEXT('02 Расчет'!C8,"0.0%")&amp;"; дельта результата: "&amp;TEXT('02 Расчет'!C10,"#,##0")&amp;" руб."</x:f>
        <x:v>Маржа после SLA: 23.2%; дельта результата: -230,000 руб.</x:v>
      </x:c>
    </x:row>
    <x:row r="7" ht="15" hidden="0" customHeight="1">
      <x:c r="A7" s="26" t="str">
        <x:v>Пояснение</x:v>
      </x:c>
      <x:c r="B7" s="32" t="str">
        <x:f>"УМ переводит обещание сервиса в цену, нагрузку и операционное ограничение."</x:f>
        <x:v>УМ переводит обещание сервиса в цену, нагрузку и операционное ограничение.</x:v>
      </x:c>
    </x:row>
    <x:row r="8" ht="15" hidden="0" customHeight="1">
      <x:c r="A8" s="26" t="str">
        <x:v>Если условия не принимаются</x:v>
      </x:c>
      <x:c r="B8" s="26" t="str">
        <x:f>IF('05 Статус'!B9="Нельзя в текущей модели","Не обещать SLA в текущих условиях.","Закрепить доплату, лимиты сервиса и контроль нагрузки.")</x:f>
        <x:v>Не обещать SLA в текущих условиях.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Маржа после SLA</x:v>
      </x:c>
      <x:c r="B5" s="13" t="n">
        <x:f>'01 Ввод'!C11</x:f>
        <x:v>0.22</x:v>
      </x:c>
      <x:c r="C5" s="18"/>
      <x:c r="D5" s="13" t="str">
        <x:f>IF(C5="","ждет факта",IF(C5&gt;=B5,"ОК","Отклонение"))</x:f>
        <x:v>ждет факта</x:v>
      </x:c>
      <x:c r="E5" s="13" t="str">
        <x:v>Пересчитать цену SLA.</x:v>
      </x:c>
      <x:c r="F5" s="13" t="str">
        <x:v>Операционный директор</x:v>
      </x:c>
    </x:row>
    <x:row r="6" ht="15" hidden="0" customHeight="1">
      <x:c r="A6" s="13" t="str">
        <x:v>Часы сервиса</x:v>
      </x:c>
      <x:c r="B6" s="13" t="n">
        <x:f>'01 Ввод'!C7</x:f>
        <x:v>120</x:v>
      </x:c>
      <x:c r="C6" s="18"/>
      <x:c r="D6" s="13" t="str">
        <x:f>IF(C6="","ждет факта",IF(C6&gt;=B6,"ОК","Отклонение"))</x:f>
        <x:v>ждет факта</x:v>
      </x:c>
      <x:c r="E6" s="13" t="str">
        <x:v>Ограничить объем SLA.</x:v>
      </x:c>
      <x:c r="F6" s="13" t="str">
        <x:v>Операционный директор</x:v>
      </x:c>
    </x:row>
    <x:row r="7" ht="15" hidden="0" customHeight="1">
      <x:c r="A7" s="13" t="str">
        <x:v>Дата контроля</x:v>
      </x:c>
      <x:c r="B7" s="13" t="n">
        <x:f>'01 Ввод'!C13</x:f>
        <x:v>46239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нагрузку.</x:v>
      </x:c>
      <x:c r="F7" s="13" t="str">
        <x:v>Операционный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