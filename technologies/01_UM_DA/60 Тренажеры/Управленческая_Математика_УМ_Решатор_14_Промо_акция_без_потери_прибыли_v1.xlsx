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5419a9e4c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5ff4eaab265846c4"/>
    <x:sheet xmlns:r="http://schemas.openxmlformats.org/officeDocument/2006/relationships" name="01 Ввод" sheetId="2" r:id="Ra09653b5e11749f6"/>
    <x:sheet xmlns:r="http://schemas.openxmlformats.org/officeDocument/2006/relationships" name="02 Расчет" sheetId="3" r:id="R869c30d96d51498e"/>
    <x:sheet xmlns:r="http://schemas.openxmlformats.org/officeDocument/2006/relationships" name="03 Сценарии" sheetId="4" r:id="R214f702af0db44c5"/>
    <x:sheet xmlns:r="http://schemas.openxmlformats.org/officeDocument/2006/relationships" name="04 Контуры" sheetId="5" r:id="R9a92baf7b65c4206"/>
    <x:sheet xmlns:r="http://schemas.openxmlformats.org/officeDocument/2006/relationships" name="05 Статус" sheetId="6" r:id="Rb8da3449e2ac41ff"/>
    <x:sheet xmlns:r="http://schemas.openxmlformats.org/officeDocument/2006/relationships" name="06 Ответ" sheetId="7" r:id="R0e511e9580974333"/>
    <x:sheet xmlns:r="http://schemas.openxmlformats.org/officeDocument/2006/relationships" name="07 Контроль" sheetId="8" r:id="Ra0f39153eccf4efc"/>
    <x:sheet xmlns:r="http://schemas.openxmlformats.org/officeDocument/2006/relationships" name="08 Проверка" sheetId="9" r:id="Rc612b09348d4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EAF3F6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7" fillId="15" borderId="1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2" fillId="16" borderId="0" xfId="0" applyNumberFormat="1" applyFont="1" applyFill="1" applyBorder="1"/>
    <x:xf numFmtId="0" fontId="3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1" xfId="0" applyNumberFormat="1" applyFont="1" applyFill="1" applyBorder="1" applyAlignment="1">
      <x:alignment wrapText="1"/>
    </x:xf>
    <x:xf numFmtId="0" fontId="0" fillId="19" borderId="1" xfId="0" applyNumberFormat="1" applyFont="1" applyFill="1" applyBorder="1" applyAlignment="1">
      <x:alignment wrapText="1"/>
    </x:xf>
    <x:xf numFmtId="0" fontId="0" fillId="20" borderId="1" xfId="0" applyNumberFormat="1" applyFont="1" applyFill="1" applyBorder="1" applyAlignment="1">
      <x:alignment wrapText="1"/>
    </x:xf>
    <x:xf numFmtId="0" fontId="4" fillId="20" borderId="1" xfId="0" applyNumberFormat="1" applyFont="1" applyFill="1" applyBorder="1" applyAlignment="1">
      <x:alignment wrapText="1"/>
    </x:xf>
    <x:xf numFmtId="0" fontId="5" fillId="2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b092683044031" /><Relationship Type="http://schemas.openxmlformats.org/officeDocument/2006/relationships/theme" Target="/xl/theme/theme1.xml" Id="R857e4ab7a3f8413e" /><Relationship Type="http://schemas.openxmlformats.org/officeDocument/2006/relationships/sharedStrings" Target="/xl/sharedStrings.xml" Id="Rbe6bf4064a2844cc" /><Relationship Type="http://schemas.openxmlformats.org/officeDocument/2006/relationships/worksheet" Target="/xl/worksheets/sheet1.xml" Id="R5ff4eaab265846c4" /><Relationship Type="http://schemas.openxmlformats.org/officeDocument/2006/relationships/worksheet" Target="/xl/worksheets/sheet2.xml" Id="Ra09653b5e11749f6" /><Relationship Type="http://schemas.openxmlformats.org/officeDocument/2006/relationships/worksheet" Target="/xl/worksheets/sheet3.xml" Id="R869c30d96d51498e" /><Relationship Type="http://schemas.openxmlformats.org/officeDocument/2006/relationships/worksheet" Target="/xl/worksheets/sheet4.xml" Id="R214f702af0db44c5" /><Relationship Type="http://schemas.openxmlformats.org/officeDocument/2006/relationships/worksheet" Target="/xl/worksheets/sheet5.xml" Id="R9a92baf7b65c4206" /><Relationship Type="http://schemas.openxmlformats.org/officeDocument/2006/relationships/worksheet" Target="/xl/worksheets/sheet6.xml" Id="Rb8da3449e2ac41ff" /><Relationship Type="http://schemas.openxmlformats.org/officeDocument/2006/relationships/worksheet" Target="/xl/worksheets/sheet7.xml" Id="R0e511e9580974333" /><Relationship Type="http://schemas.openxmlformats.org/officeDocument/2006/relationships/worksheet" Target="/xl/worksheets/sheet8.xml" Id="Ra0f39153eccf4efc" /><Relationship Type="http://schemas.openxmlformats.org/officeDocument/2006/relationships/worksheet" Target="/xl/worksheets/sheet9.xml" Id="Rc612b09348d4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54" t="str">
        <x:v>00 Каталог решаторов УМ</x:v>
      </x:c>
      <x:c r="B1" s="54" t="str">
        <x:v>00 Каталог решаторов УМ</x:v>
      </x:c>
      <x:c r="C1" s="54" t="str">
        <x:v>00 Каталог решаторов УМ</x:v>
      </x:c>
      <x:c r="D1" s="54" t="str">
        <x:v>00 Каталог решаторов УМ</x:v>
      </x:c>
      <x:c r="E1" s="54" t="str">
        <x:v>00 Каталог решаторов УМ</x:v>
      </x:c>
    </x:row>
    <x:row r="2" ht="15" hidden="0" customHeight="1">
      <x:c r="A2" s="56" t="str">
        <x:v>Навигационный лист: полный каталог типовых решаторов УМ / Управленческой математики и статус текущего файла.</x:v>
      </x:c>
      <x:c r="B2" s="56" t="str">
        <x:v>Навигационный лист: полный каталог типовых решаторов УМ / Управленческой математики и статус текущего файла.</x:v>
      </x:c>
      <x:c r="C2" s="56" t="str">
        <x:v>Навигационный лист: полный каталог типовых решаторов УМ / Управленческой математики и статус текущего файла.</x:v>
      </x:c>
      <x:c r="D2" s="56" t="str">
        <x:v>Навигационный лист: полный каталог типовых решаторов УМ / Управленческой математики и статус текущего файла.</x:v>
      </x:c>
      <x:c r="E2" s="56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61" t="str">
        <x:v>№</x:v>
      </x:c>
      <x:c r="B4" s="61" t="str">
        <x:v>Группа задач</x:v>
      </x:c>
      <x:c r="C4" s="61" t="str">
        <x:v>Название решатора</x:v>
      </x:c>
      <x:c r="D4" s="61" t="str">
        <x:v>Что показывает</x:v>
      </x:c>
      <x:c r="E4" s="61" t="str">
        <x:v>Статус</x:v>
      </x:c>
    </x:row>
    <x:row r="5" ht="15" hidden="0" customHeight="1">
      <x:c r="A5" s="62" t="n">
        <x:v>1</x:v>
      </x:c>
      <x:c r="B5" s="62" t="str">
        <x:v>Коммерческие условия</x:v>
      </x:c>
      <x:c r="C5" s="62" t="str">
        <x:v>Скидка и отсрочка клиента</x:v>
      </x:c>
      <x:c r="D5" s="62" t="str">
        <x:v>Какой рост закупки нужен, чтобы скидка и отсрочка не ухудшили результат.</x:v>
      </x:c>
      <x:c r="E5" s="62" t="str">
        <x:v>Создан</x:v>
      </x:c>
    </x:row>
    <x:row r="6" ht="15" hidden="0" customHeight="1">
      <x:c r="A6" s="62" t="n">
        <x:v>2</x:v>
      </x:c>
      <x:c r="B6" s="62" t="str">
        <x:v>Коммерческие условия</x:v>
      </x:c>
      <x:c r="C6" s="62" t="str">
        <x:v>Минимальный объем для спецусловий</x:v>
      </x:c>
      <x:c r="D6" s="62" t="str">
        <x:v>При каком объеме можно дать цену, бонус, отсрочку или индивидуальные условия.</x:v>
      </x:c>
      <x:c r="E6" s="62" t="str">
        <x:v>Создан</x:v>
      </x:c>
    </x:row>
    <x:row r="7" ht="15" hidden="0" customHeight="1">
      <x:c r="A7" s="62" t="n">
        <x:v>3</x:v>
      </x:c>
      <x:c r="B7" s="62" t="str">
        <x:v>Коммерческие условия</x:v>
      </x:c>
      <x:c r="C7" s="62" t="str">
        <x:v>Цена сделки после всех условий</x:v>
      </x:c>
      <x:c r="D7" s="62" t="str">
        <x:v>Реальную прибыльность клиента после скидок, бонусов, логистики и отсрочки.</x:v>
      </x:c>
      <x:c r="E7" s="62" t="str">
        <x:v>Создан</x:v>
      </x:c>
    </x:row>
    <x:row r="8" ht="15" hidden="0" customHeight="1">
      <x:c r="A8" s="62" t="n">
        <x:v>4</x:v>
      </x:c>
      <x:c r="B8" s="62" t="str">
        <x:v>Маркетинг и каналы</x:v>
      </x:c>
      <x:c r="C8" s="62" t="str">
        <x:v>Рекламный бюджет и ROMI / возврат маркетинговых инвестиций</x:v>
      </x:c>
      <x:c r="D8" s="62" t="str">
        <x:v>Какой объем продаж нужен, чтобы рекламный бюджет окупился.</x:v>
      </x:c>
      <x:c r="E8" s="62" t="str">
        <x:v>Создан</x:v>
      </x:c>
    </x:row>
    <x:row r="9" ht="15" hidden="0" customHeight="1">
      <x:c r="A9" s="65" t="n">
        <x:v>5</x:v>
      </x:c>
      <x:c r="B9" s="65" t="str">
        <x:v>Маркетинг и каналы</x:v>
      </x:c>
      <x:c r="C9" s="65" t="str">
        <x:v>Промо-акция без потери прибыли</x:v>
      </x:c>
      <x:c r="D9" s="65" t="str">
        <x:v>Какой рост продаж должен компенсировать скидку, промо и дополнительные расходы.</x:v>
      </x:c>
      <x:c r="E9" s="65" t="str">
        <x:v>Текущий файл</x:v>
      </x:c>
    </x:row>
    <x:row r="10" ht="15" hidden="0" customHeight="1">
      <x:c r="A10" s="62" t="n">
        <x:v>6</x:v>
      </x:c>
      <x:c r="B10" s="62" t="str">
        <x:v>Маркетинг и каналы</x:v>
      </x:c>
      <x:c r="C10" s="62" t="str">
        <x:v>Канал продаж: выгодно или нет</x:v>
      </x:c>
      <x:c r="D10" s="62" t="str">
        <x:v>Чистый результат канала после комиссии, логистики, возвратов и налогового контура.</x:v>
      </x:c>
      <x:c r="E10" s="62" t="str">
        <x:v>Создан</x:v>
      </x:c>
    </x:row>
    <x:row r="11" ht="15" hidden="0" customHeight="1">
      <x:c r="A11" s="62" t="n">
        <x:v>7</x:v>
      </x:c>
      <x:c r="B11" s="62" t="str">
        <x:v>Маркетплейсы</x:v>
      </x:c>
      <x:c r="C11" s="62" t="str">
        <x:v>Маркетплейс: цена, комиссия, логистика</x:v>
      </x:c>
      <x:c r="D11" s="62" t="str">
        <x:v>Реальную маржу SKU / товарной позиции на маркетплейсе.</x:v>
      </x:c>
      <x:c r="E11" s="62" t="str">
        <x:v>Создан</x:v>
      </x:c>
    </x:row>
    <x:row r="12" ht="15" hidden="0" customHeight="1">
      <x:c r="A12" s="62" t="n">
        <x:v>8</x:v>
      </x:c>
      <x:c r="B12" s="62" t="str">
        <x:v>Маркетплейсы</x:v>
      </x:c>
      <x:c r="C12" s="62" t="str">
        <x:v>Участие в акции маркетплейса</x:v>
      </x:c>
      <x:c r="D12" s="62" t="str">
        <x:v>Можно ли входить в акцию и какой рост продаж нужен для сохранения результата.</x:v>
      </x:c>
      <x:c r="E12" s="62" t="str">
        <x:v>Создан</x:v>
      </x:c>
    </x:row>
    <x:row r="13" ht="15" hidden="0" customHeight="1">
      <x:c r="A13" s="62" t="n">
        <x:v>9</x:v>
      </x:c>
      <x:c r="B13" s="62" t="str">
        <x:v>Ассортимент и продукт</x:v>
      </x:c>
      <x:c r="C13" s="62" t="str">
        <x:v>SKU: оставить, поднять цену или убрать</x:v>
      </x:c>
      <x:c r="D13" s="62" t="str">
        <x:v>Какие товарные позиции создают результат, а какие съедают деньги.</x:v>
      </x:c>
      <x:c r="E13" s="62" t="str">
        <x:v>Создан</x:v>
      </x:c>
    </x:row>
    <x:row r="14" ht="15" hidden="0" customHeight="1">
      <x:c r="A14" s="62" t="n">
        <x:v>10</x:v>
      </x:c>
      <x:c r="B14" s="62" t="str">
        <x:v>Ассортимент и продукт</x:v>
      </x:c>
      <x:c r="C14" s="62" t="str">
        <x:v>Новый продукт: точка допустимого запуска</x:v>
      </x:c>
      <x:c r="D14" s="62" t="str">
        <x:v>Минимальный объем, цена и маржа для запуска продукта.</x:v>
      </x:c>
      <x:c r="E14" s="62" t="str">
        <x:v>Создан</x:v>
      </x:c>
    </x:row>
    <x:row r="15" ht="15" hidden="0" customHeight="1">
      <x:c r="A15" s="62" t="n">
        <x:v>11</x:v>
      </x:c>
      <x:c r="B15" s="62" t="str">
        <x:v>Операции и логистика</x:v>
      </x:c>
      <x:c r="C15" s="62" t="str">
        <x:v>Запас и оборачиваемость</x:v>
      </x:c>
      <x:c r="D15" s="62" t="str">
        <x:v>Сколько денег замораживает запас и где начинается лишняя складская нагрузка.</x:v>
      </x:c>
      <x:c r="E15" s="62" t="str">
        <x:v>Создан</x:v>
      </x:c>
    </x:row>
    <x:row r="16" ht="15" hidden="0" customHeight="1">
      <x:c r="A16" s="62" t="n">
        <x:v>12</x:v>
      </x:c>
      <x:c r="B16" s="62" t="str">
        <x:v>Операции и логистика</x:v>
      </x:c>
      <x:c r="C16" s="62" t="str">
        <x:v>Производственная партия</x:v>
      </x:c>
      <x:c r="D16" s="62" t="str">
        <x:v>При каком объеме партия покрывает себестоимость, брак, логистику и операционные ограничения.</x:v>
      </x:c>
      <x:c r="E16" s="62" t="str">
        <x:v>Создан</x:v>
      </x:c>
    </x:row>
    <x:row r="17" ht="15" hidden="0" customHeight="1">
      <x:c r="A17" s="62" t="n">
        <x:v>13</x:v>
      </x:c>
      <x:c r="B17" s="62" t="str">
        <x:v>Операции и логистика</x:v>
      </x:c>
      <x:c r="C17" s="62" t="str">
        <x:v>SLA / уровень сервиса и цена выполнения</x:v>
      </x:c>
      <x:c r="D17" s="62" t="str">
        <x:v>Сколько стоит повышенный уровень сервиса и можно ли его обещать клиенту.</x:v>
      </x:c>
      <x:c r="E17" s="62" t="str">
        <x:v>Создан</x:v>
      </x:c>
    </x:row>
    <x:row r="18" ht="15" hidden="0" customHeight="1">
      <x:c r="A18" s="62" t="n">
        <x:v>14</x:v>
      </x:c>
      <x:c r="B18" s="62" t="str">
        <x:v>Финансы и деньги</x:v>
      </x:c>
      <x:c r="C18" s="62" t="str">
        <x:v>Денежный разрыв по решению</x:v>
      </x:c>
      <x:c r="D18" s="62" t="str">
        <x:v>Сколько денег нужно до поступления оплаты и выдерживает ли компания кассовый контур.</x:v>
      </x:c>
      <x:c r="E18" s="62" t="str">
        <x:v>Создан</x:v>
      </x:c>
    </x:row>
    <x:row r="19" ht="15" hidden="0" customHeight="1">
      <x:c r="A19" s="62" t="n">
        <x:v>15</x:v>
      </x:c>
      <x:c r="B19" s="62" t="str">
        <x:v>Финансы и деньги</x:v>
      </x:c>
      <x:c r="C19" s="62" t="str">
        <x:v>НДС и налоговый контур при ОСНО</x:v>
      </x:c>
      <x:c r="D19" s="62" t="str">
        <x:v>Как налоговый режим влияет на чистый результат и денежный поток.</x:v>
      </x:c>
      <x:c r="E19" s="62" t="str">
        <x:v>Создан</x:v>
      </x:c>
    </x:row>
    <x:row r="20" ht="15" hidden="0" customHeight="1">
      <x:c r="A20" s="62" t="n">
        <x:v>16</x:v>
      </x:c>
      <x:c r="B20" s="62" t="str">
        <x:v>Финансы и деньги</x:v>
      </x:c>
      <x:c r="C20" s="62" t="str">
        <x:v>ROI / возврат инвестиций и срок окупаемости</x:v>
      </x:c>
      <x:c r="D20" s="62" t="str">
        <x:v>Окупается ли вложение и при каких сценариях оно становится недопустимым.</x:v>
      </x:c>
      <x:c r="E20" s="62" t="str">
        <x:v>Создан</x:v>
      </x:c>
    </x:row>
    <x:row r="21" ht="15" hidden="0" customHeight="1">
      <x:c r="A21" s="62" t="n">
        <x:v>17</x:v>
      </x:c>
      <x:c r="B21" s="62" t="str">
        <x:v>Специальные решения</x:v>
      </x:c>
      <x:c r="C21" s="62" t="str">
        <x:v>TCO / совокупная стоимость владения проекта</x:v>
      </x:c>
      <x:c r="D21" s="62" t="str">
        <x:v>Полную стоимость решения: покупка, внедрение, поддержка, люди, риски.</x:v>
      </x:c>
      <x:c r="E21" s="62" t="str">
        <x:v>Создан</x:v>
      </x:c>
    </x:row>
    <x:row r="22" ht="15" hidden="0" customHeight="1">
      <x:c r="A22" s="62" t="n">
        <x:v>18</x:v>
      </x:c>
      <x:c r="B22" s="62" t="str">
        <x:v>Специальные решения</x:v>
      </x:c>
      <x:c r="C22" s="62" t="str">
        <x:v>Найм / подрядчик / автоматизация</x:v>
      </x:c>
      <x:c r="D22" s="62" t="str">
        <x:v>Что выгоднее: человек, подрядчик, автоматизация или отказ от инициативы.</x:v>
      </x:c>
      <x:c r="E22" s="62" t="str">
        <x:v>Создан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0" hidden="0" customWidth="1"/>
    <x:col min="4" max="4" width="14" hidden="0" customWidth="1"/>
    <x:col min="5" max="5" width="58" hidden="0" customWidth="1"/>
    <x:col min="6" max="6" width="16" hidden="0" customWidth="1"/>
  </x:cols>
  <x:sheetData>
    <x:row r="1" ht="18" hidden="0" customHeight="1">
      <x:c r="A1" s="4" t="str">
        <x:v>УМ решатор: промо-акция без потери прибыли</x:v>
      </x:c>
      <x:c r="B1" s="4" t="str">
        <x:v>УМ решатор: промо-акция без потери прибыли</x:v>
      </x:c>
      <x:c r="C1" s="4" t="str">
        <x:v>УМ решатор: промо-акция без потери прибыли</x:v>
      </x:c>
      <x:c r="D1" s="4" t="str">
        <x:v>УМ решатор: промо-акция без потери прибыли</x:v>
      </x:c>
      <x:c r="E1" s="4" t="str">
        <x:v>УМ решатор: промо-акция без потери прибыли</x:v>
      </x:c>
      <x:c r="F1" s="4" t="str">
        <x:v>УМ решатор: промо-акция без потери прибыли</x:v>
      </x:c>
    </x:row>
    <x:row r="2" ht="15" hidden="0" customHeight="1">
      <x:c r="A2" s="6" t="str">
        <x:v>Показывает, какой рост продаж должен компенсировать скидку, промо и дополнительные расходы.</x:v>
      </x:c>
      <x:c r="B2" s="6" t="str">
        <x:v>Показывает, какой рост продаж должен компенсировать скидку, промо и дополнительные расходы.</x:v>
      </x:c>
      <x:c r="C2" s="6" t="str">
        <x:v>Показывает, какой рост продаж должен компенсировать скидку, промо и дополнительные расходы.</x:v>
      </x:c>
      <x:c r="D2" s="6" t="str">
        <x:v>Показывает, какой рост продаж должен компенсировать скидку, промо и дополнительные расходы.</x:v>
      </x:c>
      <x:c r="E2" s="6" t="str">
        <x:v>Показывает, какой рост продаж должен компенсировать скидку, промо и дополнительные расходы.</x:v>
      </x:c>
      <x:c r="F2" s="6" t="str">
        <x:v>Показывает, какой рост продаж должен компенсировать скидку, промо и дополнительные расходы.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База</x:v>
      </x:c>
      <x:c r="B5" s="13" t="str">
        <x:v>Базовый объем продаж</x:v>
      </x:c>
      <x:c r="C5" s="19" t="n">
        <x:v>1000</x:v>
      </x:c>
      <x:c r="D5" s="13" t="str">
        <x:v>шт.</x:v>
      </x:c>
      <x:c r="E5" s="13" t="str">
        <x:v>Продажи без промо.</x:v>
      </x:c>
      <x:c r="F5" s="13" t="str">
        <x:v>Ввод</x:v>
      </x:c>
    </x:row>
    <x:row r="6" ht="15" hidden="0" customHeight="1">
      <x:c r="A6" s="13" t="str">
        <x:v>Цена</x:v>
      </x:c>
      <x:c r="B6" s="13" t="str">
        <x:v>Цена без НДС</x:v>
      </x:c>
      <x:c r="C6" s="19" t="n">
        <x:v>3000</x:v>
      </x:c>
      <x:c r="D6" s="13" t="str">
        <x:v>руб.</x:v>
      </x:c>
      <x:c r="E6" s="13" t="str">
        <x:v>Цена до промо.</x:v>
      </x:c>
      <x:c r="F6" s="13" t="str">
        <x:v>Ввод</x:v>
      </x:c>
    </x:row>
    <x:row r="7" ht="15" hidden="0" customHeight="1">
      <x:c r="A7" s="13" t="str">
        <x:v>Себестоимость</x:v>
      </x:c>
      <x:c r="B7" s="13" t="str">
        <x:v>Себестоимость единицы</x:v>
      </x:c>
      <x:c r="C7" s="19" t="n">
        <x:v>1800</x:v>
      </x:c>
      <x:c r="D7" s="13" t="str">
        <x:v>руб.</x:v>
      </x:c>
      <x:c r="E7" s="13" t="str">
        <x:v>Переменные затраты.</x:v>
      </x:c>
      <x:c r="F7" s="13" t="str">
        <x:v>Ввод</x:v>
      </x:c>
    </x:row>
    <x:row r="8" ht="15" hidden="0" customHeight="1">
      <x:c r="A8" s="13" t="str">
        <x:v>Промо</x:v>
      </x:c>
      <x:c r="B8" s="13" t="str">
        <x:v>Промо-скидка</x:v>
      </x:c>
      <x:c r="C8" s="20" t="n">
        <x:v>0.15</x:v>
      </x:c>
      <x:c r="D8" s="13" t="str">
        <x:v>%</x:v>
      </x:c>
      <x:c r="E8" s="13" t="str">
        <x:v>Скидка в промо.</x:v>
      </x:c>
      <x:c r="F8" s="13" t="str">
        <x:v>Ввод</x:v>
      </x:c>
    </x:row>
    <x:row r="9" ht="15" hidden="0" customHeight="1">
      <x:c r="A9" s="13" t="str">
        <x:v>Промо</x:v>
      </x:c>
      <x:c r="B9" s="13" t="str">
        <x:v>Фиксированные расходы промо</x:v>
      </x:c>
      <x:c r="C9" s="19" t="n">
        <x:v>400000</x:v>
      </x:c>
      <x:c r="D9" s="13" t="str">
        <x:v>руб.</x:v>
      </x:c>
      <x:c r="E9" s="13" t="str">
        <x:v>Реклама, мерчандайзинг, запуск.</x:v>
      </x:c>
      <x:c r="F9" s="13" t="str">
        <x:v>Ввод</x:v>
      </x:c>
    </x:row>
    <x:row r="10" ht="15" hidden="0" customHeight="1">
      <x:c r="A10" s="13" t="str">
        <x:v>Прогноз</x:v>
      </x:c>
      <x:c r="B10" s="13" t="str">
        <x:v>Ожидаемый объем в промо</x:v>
      </x:c>
      <x:c r="C10" s="19" t="n">
        <x:v>1500</x:v>
      </x:c>
      <x:c r="D10" s="13" t="str">
        <x:v>шт.</x:v>
      </x:c>
      <x:c r="E10" s="13" t="str">
        <x:v>Прогноз продаж.</x:v>
      </x:c>
      <x:c r="F10" s="13" t="str">
        <x:v>Ввод</x:v>
      </x:c>
    </x:row>
    <x:row r="11" ht="15" hidden="0" customHeight="1">
      <x:c r="A11" s="13" t="str">
        <x:v>Порог</x:v>
      </x:c>
      <x:c r="B11" s="13" t="str">
        <x:v>Запас прочности по прибыли</x:v>
      </x:c>
      <x:c r="C11" s="20" t="n">
        <x:v>0</x:v>
      </x:c>
      <x:c r="D11" s="13" t="str">
        <x:v>%</x:v>
      </x:c>
      <x:c r="E11" s="13" t="str">
        <x:v>0% = сохранить базовую прибыль.</x:v>
      </x:c>
      <x:c r="F11" s="13" t="str">
        <x:v>Ввод</x:v>
      </x:c>
    </x:row>
    <x:row r="12" ht="15" hidden="0" customHeight="1">
      <x:c r="A12" s="13" t="str">
        <x:v>Факт</x:v>
      </x:c>
      <x:c r="B12" s="13" t="str">
        <x:v>Налоговый режим</x:v>
      </x:c>
      <x:c r="C12" s="18" t="str">
        <x:v>ОСНО</x:v>
      </x:c>
      <x:c r="D12" s="13" t="str">
        <x:v>режим</x:v>
      </x:c>
      <x:c r="E12" s="13" t="str">
        <x:v>Цена без НДС.</x:v>
      </x:c>
      <x:c r="F12" s="13" t="str">
        <x:v>Ввод</x:v>
      </x:c>
    </x:row>
    <x:row r="13" ht="15" hidden="0" customHeight="1">
      <x:c r="A13" s="13" t="str">
        <x:v>Качество данных</x:v>
      </x:c>
      <x:c r="B13" s="13" t="str">
        <x:v>Прогноз подтвержден</x:v>
      </x:c>
      <x:c r="C13" s="18" t="str">
        <x:v>Да</x:v>
      </x:c>
      <x:c r="D13" s="13" t="str">
        <x:v>Да/Нет</x:v>
      </x:c>
      <x:c r="E13" s="13" t="str">
        <x:v>Есть ли подтверждение прогноза.</x:v>
      </x:c>
      <x:c r="F13" s="13" t="str">
        <x:v>Ввод</x:v>
      </x:c>
    </x:row>
    <x:row r="14" ht="15" hidden="0" customHeight="1">
      <x:c r="A14" s="13" t="str">
        <x:v>Контроль</x:v>
      </x:c>
      <x:c r="B14" s="13" t="str">
        <x:v>Дата первого контроля</x:v>
      </x:c>
      <x:c r="C14" s="21" t="n">
        <x:v>46235</x:v>
      </x:c>
      <x:c r="D14" s="13" t="str">
        <x:v>дата</x:v>
      </x:c>
      <x:c r="E14" s="13" t="str">
        <x:v>Дата проверки продаж.</x:v>
      </x:c>
      <x:c r="F14" s="13" t="str">
        <x:v>Ввод</x:v>
      </x:c>
    </x:row>
    <x:row r="15" ht="15" hidden="0" customHeight="1">
      <x:c r="A15" s="13" t="str">
        <x:v>Ответственный</x:v>
      </x:c>
      <x:c r="B15" s="13" t="str">
        <x:v>Коммерческий директор</x:v>
      </x:c>
      <x:c r="C15" s="18" t="str">
        <x:v>Коммерческий директор</x:v>
      </x:c>
      <x:c r="D15" s="13" t="str">
        <x:v>роль</x:v>
      </x:c>
      <x:c r="E15" s="13" t="str">
        <x:v>Отвечает за промо.</x:v>
      </x:c>
      <x:c r="F15" s="13" t="str">
        <x:v>Ввод</x:v>
      </x:c>
    </x:row>
  </x:sheetData>
  <x:mergeCells>
    <x:mergeCell ref="A1:F1"/>
    <x:mergeCell ref="A2:F2"/>
  </x:mergeCells>
  <x:dataValidations count="1">
    <x:dataValidation type="list" sqref="C13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22" hidden="0" customWidth="1"/>
    <x:col min="4" max="4" width="14" hidden="0" customWidth="1"/>
    <x:col min="5" max="5" width="62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База</x:v>
      </x:c>
      <x:c r="B5" s="13" t="str">
        <x:v>Базовая прибыль</x:v>
      </x:c>
      <x:c r="C5" s="23" t="n">
        <x:f>('01 Ввод'!C6-'01 Ввод'!C7)*'01 Ввод'!C5</x:f>
        <x:v>1200000</x:v>
      </x:c>
      <x:c r="D5" s="13" t="str">
        <x:v>руб.</x:v>
      </x:c>
      <x:c r="E5" s="13" t="str">
        <x:v>Маржа × базовый объем.</x:v>
      </x:c>
    </x:row>
    <x:row r="6" ht="15" hidden="0" customHeight="1">
      <x:c r="A6" s="13" t="str">
        <x:v>Промо</x:v>
      </x:c>
      <x:c r="B6" s="13" t="str">
        <x:v>Цена в промо</x:v>
      </x:c>
      <x:c r="C6" s="23" t="n">
        <x:f>'01 Ввод'!C6*(1-'01 Ввод'!C8)</x:f>
        <x:v>2550</x:v>
      </x:c>
      <x:c r="D6" s="13" t="str">
        <x:v>руб.</x:v>
      </x:c>
      <x:c r="E6" s="13" t="str">
        <x:v>Цена после промо-скидки.</x:v>
      </x:c>
    </x:row>
    <x:row r="7" ht="15" hidden="0" customHeight="1">
      <x:c r="A7" s="13" t="str">
        <x:v>Промо</x:v>
      </x:c>
      <x:c r="B7" s="13" t="str">
        <x:v>Вклад на единицу в промо</x:v>
      </x:c>
      <x:c r="C7" s="23" t="n">
        <x:f>C6-'01 Ввод'!C7</x:f>
        <x:v>750</x:v>
      </x:c>
      <x:c r="D7" s="13" t="str">
        <x:v>руб.</x:v>
      </x:c>
      <x:c r="E7" s="13" t="str">
        <x:v>Цена промо - себестоимость.</x:v>
      </x:c>
    </x:row>
    <x:row r="8" ht="15" hidden="0" customHeight="1">
      <x:c r="A8" s="13" t="str">
        <x:v>Порог</x:v>
      </x:c>
      <x:c r="B8" s="13" t="str">
        <x:v>Целевой результат промо</x:v>
      </x:c>
      <x:c r="C8" s="23" t="n">
        <x:f>C5*(1+'01 Ввод'!C11)</x:f>
        <x:v>1200000</x:v>
      </x:c>
      <x:c r="D8" s="13" t="str">
        <x:v>руб.</x:v>
      </x:c>
      <x:c r="E8" s="13" t="str">
        <x:v>Базовая прибыль × запас.</x:v>
      </x:c>
    </x:row>
    <x:row r="9" ht="15" hidden="0" customHeight="1">
      <x:c r="A9" s="13" t="str">
        <x:v>Порог</x:v>
      </x:c>
      <x:c r="B9" s="13" t="str">
        <x:v>Объем для сохранения прибыли</x:v>
      </x:c>
      <x:c r="C9" s="23" t="n">
        <x:f>IF(C7&lt;=0,999999,(C8+'01 Ввод'!C9)/C7)</x:f>
        <x:v>2133.3333333333335</x:v>
      </x:c>
      <x:c r="D9" s="13" t="str">
        <x:v>шт.</x:v>
      </x:c>
      <x:c r="E9" s="13" t="str">
        <x:v>Нужный объем для покрытия промо.</x:v>
      </x:c>
    </x:row>
    <x:row r="10" ht="15" hidden="0" customHeight="1">
      <x:c r="A10" s="13" t="str">
        <x:v>Прогноз</x:v>
      </x:c>
      <x:c r="B10" s="13" t="str">
        <x:v>Результат промо</x:v>
      </x:c>
      <x:c r="C10" s="23" t="n">
        <x:f>'01 Ввод'!C10*C7-'01 Ввод'!C9</x:f>
        <x:v>725000</x:v>
      </x:c>
      <x:c r="D10" s="13" t="str">
        <x:v>руб.</x:v>
      </x:c>
      <x:c r="E10" s="13" t="str">
        <x:v>Прогнозный объем × вклад - расходы.</x:v>
      </x:c>
    </x:row>
    <x:row r="11" ht="15" hidden="0" customHeight="1">
      <x:c r="A11" s="13" t="str">
        <x:v>Дельта</x:v>
      </x:c>
      <x:c r="B11" s="13" t="str">
        <x:v>Дельта к базе</x:v>
      </x:c>
      <x:c r="C11" s="23" t="n">
        <x:f>C10-C8</x:f>
        <x:v>-475000</x:v>
      </x:c>
      <x:c r="D11" s="13" t="str">
        <x:v>руб.</x:v>
      </x:c>
      <x:c r="E11" s="13" t="str">
        <x:v>Результат промо - целевой результат.</x:v>
      </x:c>
    </x:row>
    <x:row r="12" ht="15" hidden="0" customHeight="1">
      <x:c r="A12" s="13" t="str">
        <x:v>Дельта</x:v>
      </x:c>
      <x:c r="B12" s="13" t="str">
        <x:v>Рост продаж к базе</x:v>
      </x:c>
      <x:c r="C12" s="24" t="n">
        <x:f>IFERROR('01 Ввод'!C10/'01 Ввод'!C5-1,0)</x:f>
        <x:v>0.5</x:v>
      </x:c>
      <x:c r="D12" s="13" t="str">
        <x:v>%</x:v>
      </x:c>
      <x:c r="E12" s="13" t="str">
        <x:v>Рост объема к базе.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2" hidden="0" customWidth="1"/>
    <x:col min="4" max="4" width="22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</x:v>
      </x:c>
      <x:c r="E4" s="11" t="str">
        <x:v>Вывод</x:v>
      </x:c>
    </x:row>
    <x:row r="5" ht="15" hidden="0" customHeight="1">
      <x:c r="A5" s="13" t="str">
        <x:v>Без промо</x:v>
      </x:c>
      <x:c r="B5" s="25" t="n">
        <x:f>'01 Ввод'!C5</x:f>
        <x:v>1000</x:v>
      </x:c>
      <x:c r="C5" s="26" t="n">
        <x:f>'02 Расчет'!C5</x:f>
        <x:v>1200000</x:v>
      </x:c>
      <x:c r="D5" s="26" t="n">
        <x:f>C5</x:f>
        <x:v>1200000</x:v>
      </x:c>
      <x:c r="E5" s="13" t="str">
        <x:f>IF(C5&gt;=0,"проходит","не проходит")</x:f>
        <x:v>проходит</x:v>
      </x:c>
    </x:row>
    <x:row r="6" ht="15" hidden="0" customHeight="1">
      <x:c r="A6" s="13" t="str">
        <x:v>Порог промо</x:v>
      </x:c>
      <x:c r="B6" s="25" t="n">
        <x:f>'02 Расчет'!C9</x:f>
        <x:v>2133.3333333333335</x:v>
      </x:c>
      <x:c r="C6" s="26" t="n">
        <x:f>B6*'02 Расчет'!C7-'01 Ввод'!C9</x:f>
        <x:v>1200000</x:v>
      </x:c>
      <x:c r="D6" s="26" t="n">
        <x:f>C6</x:f>
        <x:v>1200000</x:v>
      </x:c>
      <x:c r="E6" s="13" t="str">
        <x:f>IF(C6&gt;=0,"проходит","не проходит")</x:f>
        <x:v>проходит</x:v>
      </x:c>
    </x:row>
    <x:row r="7" ht="15" hidden="0" customHeight="1">
      <x:c r="A7" s="13" t="str">
        <x:v>Прогноз</x:v>
      </x:c>
      <x:c r="B7" s="25" t="n">
        <x:f>'01 Ввод'!C10</x:f>
        <x:v>1500</x:v>
      </x:c>
      <x:c r="C7" s="26" t="n">
        <x:f>'02 Расчет'!C10</x:f>
        <x:v>725000</x:v>
      </x:c>
      <x:c r="D7" s="26" t="n">
        <x:f>C7</x:f>
        <x:v>725000</x:v>
      </x:c>
      <x:c r="E7" s="13" t="str">
        <x:f>IF(C7&gt;=0,"проходит","не проходит")</x:f>
        <x:v>проходит</x:v>
      </x:c>
    </x:row>
    <x:row r="8" ht="15" hidden="0" customHeight="1">
      <x:c r="A8" s="13" t="str">
        <x:v>Прогноз -20%</x:v>
      </x:c>
      <x:c r="B8" s="25" t="n">
        <x:f>'01 Ввод'!C10*0.8</x:f>
        <x:v>1200</x:v>
      </x:c>
      <x:c r="C8" s="26" t="n">
        <x:f>B8*'02 Расчет'!C7-'01 Ввод'!C9</x:f>
        <x:v>500000</x:v>
      </x:c>
      <x:c r="D8" s="26" t="n">
        <x:f>C8</x:f>
        <x:v>500000</x:v>
      </x:c>
      <x:c r="E8" s="13" t="str">
        <x:f>IF(C8&gt;=0,"проходит","не проходит")</x:f>
        <x:v>проходит</x:v>
      </x:c>
    </x:row>
    <x:row r="9" ht="15" hidden="0" customHeight="1">
      <x:c r="A9" s="13" t="str">
        <x:v>Прогноз +20%</x:v>
      </x:c>
      <x:c r="B9" s="25" t="n">
        <x:f>'01 Ввод'!C10*1.2</x:f>
        <x:v>1800</x:v>
      </x:c>
      <x:c r="C9" s="26" t="n">
        <x:f>B9*'02 Расчет'!C7-'01 Ввод'!C9</x:f>
        <x:v>950000</x:v>
      </x:c>
      <x:c r="D9" s="26" t="n">
        <x:f>C9</x:f>
        <x:v>950000</x:v>
      </x:c>
      <x:c r="E9" s="13" t="str">
        <x:f>IF(C9&gt;=0,"проходит","не проходит")</x:f>
        <x:v>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24" hidden="0" customWidth="1"/>
    <x:col min="4" max="4" width="58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решения.</x:v>
      </x:c>
      <x:c r="B2" s="6" t="str">
        <x:v>Контуры показывают ограничения решения.</x:v>
      </x:c>
      <x:c r="C2" s="6" t="str">
        <x:v>Контуры показывают ограничения решения.</x:v>
      </x:c>
      <x:c r="D2" s="6" t="str">
        <x:v>Контуры показывают ограничения решения.</x:v>
      </x:c>
      <x:c r="E2" s="6" t="str">
        <x:v>Контуры показывают ограничения решения.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Прибыль</x:v>
      </x:c>
      <x:c r="B5" s="13" t="str">
        <x:v>Промо не ухудшает результат</x:v>
      </x:c>
      <x:c r="C5" s="13" t="str">
        <x:f>IF('02 Расчет'!C11&gt;=0,"ОК","Провал")</x:f>
        <x:v>Провал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Прогноз</x:v>
      </x:c>
      <x:c r="B6" s="13" t="str">
        <x:v>Прогноз подтвержден</x:v>
      </x:c>
      <x:c r="C6" s="13" t="str">
        <x:f>IF('01 Ввод'!C13="Да","ОК","Провал")</x:f>
        <x:v>ОК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Маржа</x:v>
      </x:c>
      <x:c r="B7" s="13" t="str">
        <x:v>Вклад в промо положительный</x:v>
      </x:c>
      <x:c r="C7" s="13" t="str">
        <x:f>IF('02 Расчет'!C7&gt;0,"ОК","Провал")</x:f>
        <x:v>ОК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2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Объем для сохранения прибыли</x:v>
      </x:c>
      <x:c r="B5" s="49" t="n">
        <x:f>'02 Расчет'!C9</x:f>
        <x:v>2133.3333333333335</x:v>
      </x:c>
      <x:c r="C5" s="13" t="str">
        <x:v>Проверочный показатель.</x:v>
      </x:c>
    </x:row>
    <x:row r="6" ht="15" hidden="0" customHeight="1">
      <x:c r="A6" s="13" t="str">
        <x:v>Ожидаемый объем</x:v>
      </x:c>
      <x:c r="B6" s="49" t="n">
        <x:f>'01 Ввод'!C10</x:f>
        <x:v>1500</x:v>
      </x:c>
      <x:c r="C6" s="13" t="str">
        <x:v>Проверочный показатель.</x:v>
      </x:c>
    </x:row>
    <x:row r="7" ht="15" hidden="0" customHeight="1">
      <x:c r="A7" s="13" t="str">
        <x:v>Дельта к базе</x:v>
      </x:c>
      <x:c r="B7" s="49" t="n">
        <x:f>'02 Расчет'!C11</x:f>
        <x:v>-475000</x:v>
      </x:c>
      <x:c r="C7" s="13" t="str">
        <x:v>Проверочный показатель.</x:v>
      </x:c>
    </x:row>
    <x:row r="8" ht="15" hidden="0" customHeight="1">
      <x:c r="A8" s="13" t="str">
        <x:v>Прогноз подтвержден</x:v>
      </x:c>
      <x:c r="B8" s="49" t="str">
        <x:f>'01 Ввод'!C13</x:f>
        <x:v>Да</x:v>
      </x:c>
      <x:c r="C8" s="13" t="str">
        <x:v>Проверочный показатель.</x:v>
      </x:c>
    </x:row>
    <x:row r="9" ht="15" hidden="0" customHeight="1">
      <x:c r="A9" s="28" t="str">
        <x:v>Статус решения</x:v>
      </x:c>
      <x:c r="B9" s="28" t="str">
        <x:f>IF(AND(B7&gt;=0,B8="Да"),"Можно",IF(AND('02 Расчет'!C10&gt;=0,B8="Да"),"Можно при условиях","Нельзя в текущей модели"))</x:f>
        <x:v>Можно при условиях</x:v>
      </x:c>
      <x:c r="C9" s="28" t="str">
        <x:v>Итоговый вердикт УМ.</x:v>
      </x:c>
    </x:row>
    <x:row r="10" ht="15" hidden="0" customHeight="1">
      <x:c r="A10" s="13"/>
      <x:c r="B10" s="13"/>
      <x:c r="C10" s="13"/>
    </x:row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8" t="str">
        <x:v>Можно при условиях</x:v>
      </x:c>
      <x:c r="B14" s="28" t="str">
        <x:v>желтый: запуск только при числовых условиях</x:v>
      </x:c>
    </x:row>
    <x:row r="15" ht="26.399999618530273" hidden="0" customHeight="1">
      <x:c r="A15" s="31" t="str">
        <x:v>Нельзя в текущей модели</x:v>
      </x:c>
      <x:c r="B15" s="31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15" hidden="0" customHeight="1">
      <x:c r="A5" s="17" t="str">
        <x:v>Короткий ответ</x:v>
      </x:c>
      <x:c r="B5" s="17" t="str">
        <x:f>"Промо можно запускать только при объеме не ниже "&amp;TEXT('02 Расчет'!C9,"#,##0")&amp;" шт."</x:f>
        <x:v>Промо можно запускать только при объеме не ниже 2,133 шт.</x:v>
      </x:c>
    </x:row>
    <x:row r="6" ht="15" hidden="0" customHeight="1">
      <x:c r="A6" s="27" t="str">
        <x:v>Условия</x:v>
      </x:c>
      <x:c r="B6" s="27" t="str">
        <x:f>"Ожидаемый объем: "&amp;TEXT('01 Ввод'!C10,"#,##0")&amp;" шт.; дельта к базе: "&amp;TEXT('02 Расчет'!C11,"#,##0")&amp;" руб."</x:f>
        <x:v>Ожидаемый объем: 1,500 шт.; дельта к базе: -475,000 руб.</x:v>
      </x:c>
    </x:row>
    <x:row r="7" ht="15" hidden="0" customHeight="1">
      <x:c r="A7" s="27" t="str">
        <x:v>Пояснение</x:v>
      </x:c>
      <x:c r="B7" s="33" t="str">
        <x:f>"УМ переводит промо-скидку в требуемый рост продаж, а не оценивает акцию по обороту."</x:f>
        <x:v>УМ переводит промо-скидку в требуемый рост продаж, а не оценивает акцию по обороту.</x:v>
      </x:c>
    </x:row>
    <x:row r="8" ht="15" hidden="0" customHeight="1">
      <x:c r="A8" s="27" t="str">
        <x:v>Если условия не принимаются</x:v>
      </x:c>
      <x:c r="B8" s="27" t="str">
        <x:f>IF('05 Статус'!B10="Нельзя в текущей модели","Не запускать промо в текущих условиях.","Если факт продаж ниже порога, промо останавливается или пересобирается.")</x:f>
        <x:v>Если факт продаж ниже порога, промо останавливается или пересобирается.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22" hidden="0" customWidth="1"/>
    <x:col min="5" max="5" width="54" hidden="0" customWidth="1"/>
    <x:col min="6" max="6" width="28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Объем промо</x:v>
      </x:c>
      <x:c r="B5" s="13" t="n">
        <x:f>'02 Расчет'!C9</x:f>
        <x:v>2133.3333333333335</x:v>
      </x:c>
      <x:c r="C5" s="18"/>
      <x:c r="D5" s="13" t="str">
        <x:f>IF(C5="","ждет факта",IF(C5&gt;=B5,"ОК","Отклонение"))</x:f>
        <x:v>ждет факта</x:v>
      </x:c>
      <x:c r="E5" s="13" t="str">
        <x:v>Остановить промо или изменить скидку.</x:v>
      </x:c>
      <x:c r="F5" s="13" t="str">
        <x:v>Коммерческий директор</x:v>
      </x:c>
    </x:row>
    <x:row r="6" ht="15" hidden="0" customHeight="1">
      <x:c r="A6" s="13" t="str">
        <x:v>Дельта к базе</x:v>
      </x:c>
      <x:c r="B6" s="13" t="n">
        <x:f>0</x:f>
        <x:v>0</x:v>
      </x:c>
      <x:c r="C6" s="18"/>
      <x:c r="D6" s="13" t="str">
        <x:f>IF(C6="","ждет факта",IF(C6&gt;=B6,"ОК","Отклонение"))</x:f>
        <x:v>ждет факта</x:v>
      </x:c>
      <x:c r="E6" s="13" t="str">
        <x:v>Не масштабировать убыточное промо.</x:v>
      </x:c>
      <x:c r="F6" s="13" t="str">
        <x:v>Коммерческий директор</x:v>
      </x:c>
    </x:row>
    <x:row r="7" ht="15" hidden="0" customHeight="1">
      <x:c r="A7" s="13" t="str">
        <x:v>Дата контроля</x:v>
      </x:c>
      <x:c r="B7" s="13" t="n">
        <x:f>'01 Ввод'!C14</x:f>
        <x:v>46235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факт продаж.</x:v>
      </x:c>
      <x:c r="F7" s="13" t="str">
        <x:v>Коммерческий директор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2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моделью.</x:v>
      </x:c>
      <x:c r="B2" s="6" t="str">
        <x:v>Проверка подтверждает, что решатор является расчетной моделью.</x:v>
      </x:c>
      <x:c r="C2" s="6" t="str">
        <x:v>Проверка подтверждает, что решатор является расчетной моделью.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Порог рассчитан</x:v>
      </x:c>
      <x:c r="B7" s="13" t="str">
        <x:f>IF(ISNUMBER('05 Статус'!B5),"PASS","FAIL")</x:f>
        <x:v>PASS</x:v>
      </x:c>
      <x:c r="C7" s="13" t="str">
        <x:v>Ключевой порог числовой.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