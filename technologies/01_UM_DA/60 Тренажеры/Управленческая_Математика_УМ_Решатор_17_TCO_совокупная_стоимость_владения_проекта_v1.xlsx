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7fb813c4d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b85a84f63d40483f"/>
    <x:sheet xmlns:r="http://schemas.openxmlformats.org/officeDocument/2006/relationships" name="01 Ввод" sheetId="2" r:id="Rbf119c6e4b2e4db3"/>
    <x:sheet xmlns:r="http://schemas.openxmlformats.org/officeDocument/2006/relationships" name="02 Расчет" sheetId="3" r:id="Rb8d8952c8a754421"/>
    <x:sheet xmlns:r="http://schemas.openxmlformats.org/officeDocument/2006/relationships" name="03 Сценарии" sheetId="4" r:id="R2aba8a4c6d8c469f"/>
    <x:sheet xmlns:r="http://schemas.openxmlformats.org/officeDocument/2006/relationships" name="04 Контуры" sheetId="5" r:id="R222526d869c648b3"/>
    <x:sheet xmlns:r="http://schemas.openxmlformats.org/officeDocument/2006/relationships" name="05 Статус" sheetId="6" r:id="Rac86528e80654027"/>
    <x:sheet xmlns:r="http://schemas.openxmlformats.org/officeDocument/2006/relationships" name="06 Ответ" sheetId="7" r:id="R6323c5d3a6aa4d62"/>
    <x:sheet xmlns:r="http://schemas.openxmlformats.org/officeDocument/2006/relationships" name="07 Контроль" sheetId="8" r:id="Ra44390f994a8481e"/>
    <x:sheet xmlns:r="http://schemas.openxmlformats.org/officeDocument/2006/relationships" name="08 Проверка" sheetId="9" r:id="R08e58e359d26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28f86f6274d61" /><Relationship Type="http://schemas.openxmlformats.org/officeDocument/2006/relationships/theme" Target="/xl/theme/theme1.xml" Id="R23315b47eceb46a0" /><Relationship Type="http://schemas.openxmlformats.org/officeDocument/2006/relationships/sharedStrings" Target="/xl/sharedStrings.xml" Id="R94e335976d0f4957" /><Relationship Type="http://schemas.openxmlformats.org/officeDocument/2006/relationships/worksheet" Target="/xl/worksheets/sheet1.xml" Id="Rb85a84f63d40483f" /><Relationship Type="http://schemas.openxmlformats.org/officeDocument/2006/relationships/worksheet" Target="/xl/worksheets/sheet2.xml" Id="Rbf119c6e4b2e4db3" /><Relationship Type="http://schemas.openxmlformats.org/officeDocument/2006/relationships/worksheet" Target="/xl/worksheets/sheet3.xml" Id="Rb8d8952c8a754421" /><Relationship Type="http://schemas.openxmlformats.org/officeDocument/2006/relationships/worksheet" Target="/xl/worksheets/sheet4.xml" Id="R2aba8a4c6d8c469f" /><Relationship Type="http://schemas.openxmlformats.org/officeDocument/2006/relationships/worksheet" Target="/xl/worksheets/sheet5.xml" Id="R222526d869c648b3" /><Relationship Type="http://schemas.openxmlformats.org/officeDocument/2006/relationships/worksheet" Target="/xl/worksheets/sheet6.xml" Id="Rac86528e80654027" /><Relationship Type="http://schemas.openxmlformats.org/officeDocument/2006/relationships/worksheet" Target="/xl/worksheets/sheet7.xml" Id="R6323c5d3a6aa4d62" /><Relationship Type="http://schemas.openxmlformats.org/officeDocument/2006/relationships/worksheet" Target="/xl/worksheets/sheet8.xml" Id="Ra44390f994a8481e" /><Relationship Type="http://schemas.openxmlformats.org/officeDocument/2006/relationships/worksheet" Target="/xl/worksheets/sheet9.xml" Id="R08e58e359d2643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36" t="str">
        <x:v>00 Каталог решаторов УМ</x:v>
      </x:c>
      <x:c r="B1" s="36" t="str">
        <x:v>00 Каталог решаторов УМ</x:v>
      </x:c>
      <x:c r="C1" s="36" t="str">
        <x:v>00 Каталог решаторов УМ</x:v>
      </x:c>
      <x:c r="D1" s="36" t="str">
        <x:v>00 Каталог решаторов УМ</x:v>
      </x:c>
      <x:c r="E1" s="36" t="str">
        <x:v>00 Каталог решаторов УМ</x:v>
      </x:c>
    </x:row>
    <x:row r="2" ht="15" hidden="0" customHeight="1">
      <x:c r="A2" s="38" t="str">
        <x:v>Навигационный лист: полный каталог типовых решаторов УМ / Управленческой математики и статус текущего файла.</x:v>
      </x:c>
      <x:c r="B2" s="38" t="str">
        <x:v>Навигационный лист: полный каталог типовых решаторов УМ / Управленческой математики и статус текущего файла.</x:v>
      </x:c>
      <x:c r="C2" s="38" t="str">
        <x:v>Навигационный лист: полный каталог типовых решаторов УМ / Управленческой математики и статус текущего файла.</x:v>
      </x:c>
      <x:c r="D2" s="38" t="str">
        <x:v>Навигационный лист: полный каталог типовых решаторов УМ / Управленческой математики и статус текущего файла.</x:v>
      </x:c>
      <x:c r="E2" s="38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43" t="str">
        <x:v>№</x:v>
      </x:c>
      <x:c r="B4" s="43" t="str">
        <x:v>Группа задач</x:v>
      </x:c>
      <x:c r="C4" s="43" t="str">
        <x:v>Название решатора</x:v>
      </x:c>
      <x:c r="D4" s="43" t="str">
        <x:v>Что показывает</x:v>
      </x:c>
      <x:c r="E4" s="43" t="str">
        <x:v>Статус</x:v>
      </x:c>
    </x:row>
    <x:row r="5" ht="15" hidden="0" customHeight="1">
      <x:c r="A5" s="44" t="n">
        <x:v>1</x:v>
      </x:c>
      <x:c r="B5" s="44" t="str">
        <x:v>Коммерческие условия</x:v>
      </x:c>
      <x:c r="C5" s="44" t="str">
        <x:v>Скидка и отсрочка клиента</x:v>
      </x:c>
      <x:c r="D5" s="44" t="str">
        <x:v>Какой рост закупки нужен, чтобы скидка и отсрочка не ухудшили результат.</x:v>
      </x:c>
      <x:c r="E5" s="44" t="str">
        <x:v>Создан</x:v>
      </x:c>
    </x:row>
    <x:row r="6" ht="15" hidden="0" customHeight="1">
      <x:c r="A6" s="44" t="n">
        <x:v>2</x:v>
      </x:c>
      <x:c r="B6" s="44" t="str">
        <x:v>Коммерческие условия</x:v>
      </x:c>
      <x:c r="C6" s="44" t="str">
        <x:v>Минимальный объем для спецусловий</x:v>
      </x:c>
      <x:c r="D6" s="44" t="str">
        <x:v>При каком объеме можно дать цену, бонус, отсрочку или индивидуальные условия.</x:v>
      </x:c>
      <x:c r="E6" s="44" t="str">
        <x:v>Создан</x:v>
      </x:c>
    </x:row>
    <x:row r="7" ht="15" hidden="0" customHeight="1">
      <x:c r="A7" s="44" t="n">
        <x:v>3</x:v>
      </x:c>
      <x:c r="B7" s="44" t="str">
        <x:v>Коммерческие условия</x:v>
      </x:c>
      <x:c r="C7" s="44" t="str">
        <x:v>Цена сделки после всех условий</x:v>
      </x:c>
      <x:c r="D7" s="44" t="str">
        <x:v>Реальную прибыльность клиента после скидок, бонусов, логистики и отсрочки.</x:v>
      </x:c>
      <x:c r="E7" s="44" t="str">
        <x:v>Создан</x:v>
      </x:c>
    </x:row>
    <x:row r="8" ht="15" hidden="0" customHeight="1">
      <x:c r="A8" s="44" t="n">
        <x:v>4</x:v>
      </x:c>
      <x:c r="B8" s="44" t="str">
        <x:v>Маркетинг и каналы</x:v>
      </x:c>
      <x:c r="C8" s="44" t="str">
        <x:v>Рекламный бюджет и ROMI / возврат маркетинговых инвестиций</x:v>
      </x:c>
      <x:c r="D8" s="44" t="str">
        <x:v>Какой объем продаж нужен, чтобы рекламный бюджет окупился.</x:v>
      </x:c>
      <x:c r="E8" s="44" t="str">
        <x:v>Создан</x:v>
      </x:c>
    </x:row>
    <x:row r="9" ht="15" hidden="0" customHeight="1">
      <x:c r="A9" s="44" t="n">
        <x:v>5</x:v>
      </x:c>
      <x:c r="B9" s="44" t="str">
        <x:v>Маркетинг и каналы</x:v>
      </x:c>
      <x:c r="C9" s="44" t="str">
        <x:v>Промо-акция без потери прибыли</x:v>
      </x:c>
      <x:c r="D9" s="44" t="str">
        <x:v>Какой рост продаж должен компенсировать скидку, промо и дополнительные расходы.</x:v>
      </x:c>
      <x:c r="E9" s="44" t="str">
        <x:v>Создан</x:v>
      </x:c>
    </x:row>
    <x:row r="10" ht="15" hidden="0" customHeight="1">
      <x:c r="A10" s="44" t="n">
        <x:v>6</x:v>
      </x:c>
      <x:c r="B10" s="44" t="str">
        <x:v>Маркетинг и каналы</x:v>
      </x:c>
      <x:c r="C10" s="44" t="str">
        <x:v>Канал продаж: выгодно или нет</x:v>
      </x:c>
      <x:c r="D10" s="44" t="str">
        <x:v>Чистый результат канала после комиссии, логистики, возвратов и налогового контура.</x:v>
      </x:c>
      <x:c r="E10" s="44" t="str">
        <x:v>Создан</x:v>
      </x:c>
    </x:row>
    <x:row r="11" ht="15" hidden="0" customHeight="1">
      <x:c r="A11" s="44" t="n">
        <x:v>7</x:v>
      </x:c>
      <x:c r="B11" s="44" t="str">
        <x:v>Маркетплейсы</x:v>
      </x:c>
      <x:c r="C11" s="44" t="str">
        <x:v>Маркетплейс: цена, комиссия, логистика</x:v>
      </x:c>
      <x:c r="D11" s="44" t="str">
        <x:v>Реальную маржу SKU / товарной позиции на маркетплейсе.</x:v>
      </x:c>
      <x:c r="E11" s="44" t="str">
        <x:v>Создан</x:v>
      </x:c>
    </x:row>
    <x:row r="12" ht="15" hidden="0" customHeight="1">
      <x:c r="A12" s="44" t="n">
        <x:v>8</x:v>
      </x:c>
      <x:c r="B12" s="44" t="str">
        <x:v>Маркетплейсы</x:v>
      </x:c>
      <x:c r="C12" s="44" t="str">
        <x:v>Участие в акции маркетплейса</x:v>
      </x:c>
      <x:c r="D12" s="44" t="str">
        <x:v>Можно ли входить в акцию и какой рост продаж нужен для сохранения результата.</x:v>
      </x:c>
      <x:c r="E12" s="44" t="str">
        <x:v>Создан</x:v>
      </x:c>
    </x:row>
    <x:row r="13" ht="15" hidden="0" customHeight="1">
      <x:c r="A13" s="44" t="n">
        <x:v>9</x:v>
      </x:c>
      <x:c r="B13" s="44" t="str">
        <x:v>Ассортимент и продукт</x:v>
      </x:c>
      <x:c r="C13" s="44" t="str">
        <x:v>SKU: оставить, поднять цену или убрать</x:v>
      </x:c>
      <x:c r="D13" s="44" t="str">
        <x:v>Какие товарные позиции создают результат, а какие съедают деньги.</x:v>
      </x:c>
      <x:c r="E13" s="44" t="str">
        <x:v>Создан</x:v>
      </x:c>
    </x:row>
    <x:row r="14" ht="15" hidden="0" customHeight="1">
      <x:c r="A14" s="44" t="n">
        <x:v>10</x:v>
      </x:c>
      <x:c r="B14" s="44" t="str">
        <x:v>Ассортимент и продукт</x:v>
      </x:c>
      <x:c r="C14" s="44" t="str">
        <x:v>Новый продукт: точка допустимого запуска</x:v>
      </x:c>
      <x:c r="D14" s="44" t="str">
        <x:v>Минимальный объем, цена и маржа для запуска продукта.</x:v>
      </x:c>
      <x:c r="E14" s="44" t="str">
        <x:v>Создан</x:v>
      </x:c>
    </x:row>
    <x:row r="15" ht="15" hidden="0" customHeight="1">
      <x:c r="A15" s="44" t="n">
        <x:v>11</x:v>
      </x:c>
      <x:c r="B15" s="44" t="str">
        <x:v>Операции и логистика</x:v>
      </x:c>
      <x:c r="C15" s="44" t="str">
        <x:v>Запас и оборачиваемость</x:v>
      </x:c>
      <x:c r="D15" s="44" t="str">
        <x:v>Сколько денег замораживает запас и где начинается лишняя складская нагрузка.</x:v>
      </x:c>
      <x:c r="E15" s="44" t="str">
        <x:v>Создан</x:v>
      </x:c>
    </x:row>
    <x:row r="16" ht="15" hidden="0" customHeight="1">
      <x:c r="A16" s="44" t="n">
        <x:v>12</x:v>
      </x:c>
      <x:c r="B16" s="44" t="str">
        <x:v>Операции и логистика</x:v>
      </x:c>
      <x:c r="C16" s="44" t="str">
        <x:v>Производственная партия</x:v>
      </x:c>
      <x:c r="D16" s="44" t="str">
        <x:v>При каком объеме партия покрывает себестоимость, брак, логистику и операционные ограничения.</x:v>
      </x:c>
      <x:c r="E16" s="44" t="str">
        <x:v>Создан</x:v>
      </x:c>
    </x:row>
    <x:row r="17" ht="15" hidden="0" customHeight="1">
      <x:c r="A17" s="44" t="n">
        <x:v>13</x:v>
      </x:c>
      <x:c r="B17" s="44" t="str">
        <x:v>Операции и логистика</x:v>
      </x:c>
      <x:c r="C17" s="44" t="str">
        <x:v>SLA / уровень сервиса и цена выполнения</x:v>
      </x:c>
      <x:c r="D17" s="44" t="str">
        <x:v>Сколько стоит повышенный уровень сервиса и можно ли его обещать клиенту.</x:v>
      </x:c>
      <x:c r="E17" s="44" t="str">
        <x:v>Создан</x:v>
      </x:c>
    </x:row>
    <x:row r="18" ht="15" hidden="0" customHeight="1">
      <x:c r="A18" s="44" t="n">
        <x:v>14</x:v>
      </x:c>
      <x:c r="B18" s="44" t="str">
        <x:v>Финансы и деньги</x:v>
      </x:c>
      <x:c r="C18" s="44" t="str">
        <x:v>Денежный разрыв по решению</x:v>
      </x:c>
      <x:c r="D18" s="44" t="str">
        <x:v>Сколько денег нужно до поступления оплаты и выдерживает ли компания кассовый контур.</x:v>
      </x:c>
      <x:c r="E18" s="44" t="str">
        <x:v>Создан</x:v>
      </x:c>
    </x:row>
    <x:row r="19" ht="15" hidden="0" customHeight="1">
      <x:c r="A19" s="44" t="n">
        <x:v>15</x:v>
      </x:c>
      <x:c r="B19" s="44" t="str">
        <x:v>Финансы и деньги</x:v>
      </x:c>
      <x:c r="C19" s="44" t="str">
        <x:v>НДС и налоговый контур при ОСНО</x:v>
      </x:c>
      <x:c r="D19" s="44" t="str">
        <x:v>Как налоговый режим влияет на чистый результат и денежный поток.</x:v>
      </x:c>
      <x:c r="E19" s="44" t="str">
        <x:v>Создан</x:v>
      </x:c>
    </x:row>
    <x:row r="20" ht="15" hidden="0" customHeight="1">
      <x:c r="A20" s="44" t="n">
        <x:v>16</x:v>
      </x:c>
      <x:c r="B20" s="44" t="str">
        <x:v>Финансы и деньги</x:v>
      </x:c>
      <x:c r="C20" s="44" t="str">
        <x:v>ROI / возврат инвестиций и срок окупаемости</x:v>
      </x:c>
      <x:c r="D20" s="44" t="str">
        <x:v>Окупается ли вложение и при каких сценариях оно становится недопустимым.</x:v>
      </x:c>
      <x:c r="E20" s="44" t="str">
        <x:v>Создан</x:v>
      </x:c>
    </x:row>
    <x:row r="21" ht="15" hidden="0" customHeight="1">
      <x:c r="A21" s="47" t="n">
        <x:v>17</x:v>
      </x:c>
      <x:c r="B21" s="47" t="str">
        <x:v>Специальные решения</x:v>
      </x:c>
      <x:c r="C21" s="47" t="str">
        <x:v>TCO / совокупная стоимость владения проекта</x:v>
      </x:c>
      <x:c r="D21" s="47" t="str">
        <x:v>Полную стоимость решения: покупка, внедрение, поддержка, люди, риски.</x:v>
      </x:c>
      <x:c r="E21" s="47" t="str">
        <x:v>Текущий файл</x:v>
      </x:c>
    </x:row>
    <x:row r="22" ht="15" hidden="0" customHeight="1">
      <x:c r="A22" s="44" t="n">
        <x:v>18</x:v>
      </x:c>
      <x:c r="B22" s="44" t="str">
        <x:v>Специальные решения</x:v>
      </x:c>
      <x:c r="C22" s="44" t="str">
        <x:v>Найм / подрядчик / автоматизация</x:v>
      </x:c>
      <x:c r="D22" s="44" t="str">
        <x:v>Что выгоднее: человек, подрядчик, автоматизация или отказ от инициативы.</x:v>
      </x:c>
      <x:c r="E22" s="44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14" hidden="0" customWidth="1"/>
    <x:col min="5" max="5" width="64" hidden="0" customWidth="1"/>
    <x:col min="6" max="6" width="16" hidden="0" customWidth="1"/>
  </x:cols>
  <x:sheetData>
    <x:row r="1" ht="18" hidden="0" customHeight="1">
      <x:c r="A1" s="4" t="str">
        <x:v>УМ решатор: TCO / совокупная стоимость владения проекта</x:v>
      </x:c>
      <x:c r="B1" s="4" t="str">
        <x:v>УМ решатор: TCO / совокупная стоимость владения проекта</x:v>
      </x:c>
      <x:c r="C1" s="4" t="str">
        <x:v>УМ решатор: TCO / совокупная стоимость владения проекта</x:v>
      </x:c>
      <x:c r="D1" s="4" t="str">
        <x:v>УМ решатор: TCO / совокупная стоимость владения проекта</x:v>
      </x:c>
      <x:c r="E1" s="4" t="str">
        <x:v>УМ решатор: TCO / совокупная стоимость владения проекта</x:v>
      </x:c>
      <x:c r="F1" s="4" t="str">
        <x:v>УМ решатор: TCO / совокупная стоимость владения проекта</x:v>
      </x:c>
    </x:row>
    <x:row r="2" ht="15" hidden="0" customHeight="1">
      <x:c r="A2" s="6" t="str">
        <x:v>Показывает полную стоимость решения: покупка, внедрение, поддержка, люди, риски.</x:v>
      </x:c>
      <x:c r="B2" s="6" t="str">
        <x:v>Показывает полную стоимость решения: покупка, внедрение, поддержка, люди, риски.</x:v>
      </x:c>
      <x:c r="C2" s="6" t="str">
        <x:v>Показывает полную стоимость решения: покупка, внедрение, поддержка, люди, риски.</x:v>
      </x:c>
      <x:c r="D2" s="6" t="str">
        <x:v>Показывает полную стоимость решения: покупка, внедрение, поддержка, люди, риски.</x:v>
      </x:c>
      <x:c r="E2" s="6" t="str">
        <x:v>Показывает полную стоимость решения: покупка, внедрение, поддержка, люди, риски.</x:v>
      </x:c>
      <x:c r="F2" s="6" t="str">
        <x:v>Показывает полную стоимость решения: покупка, внедрение, поддержка, люди, риски.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Покупка</x:v>
      </x:c>
      <x:c r="B5" s="13" t="str">
        <x:v>Цена покупки / лицензии</x:v>
      </x:c>
      <x:c r="C5" s="19" t="n">
        <x:v>3000000</x:v>
      </x:c>
      <x:c r="D5" s="13" t="str">
        <x:v>руб.</x:v>
      </x:c>
      <x:c r="E5" s="13" t="str">
        <x:v>Первичная цена.</x:v>
      </x:c>
      <x:c r="F5" s="13" t="str">
        <x:v>Ввод</x:v>
      </x:c>
    </x:row>
    <x:row r="6" ht="15" hidden="0" customHeight="1">
      <x:c r="A6" s="13" t="str">
        <x:v>Внедрение</x:v>
      </x:c>
      <x:c r="B6" s="13" t="str">
        <x:v>Стоимость внедрения</x:v>
      </x:c>
      <x:c r="C6" s="19" t="n">
        <x:v>1500000</x:v>
      </x:c>
      <x:c r="D6" s="13" t="str">
        <x:v>руб.</x:v>
      </x:c>
      <x:c r="E6" s="13" t="str">
        <x:v>Проектные работы.</x:v>
      </x:c>
      <x:c r="F6" s="13" t="str">
        <x:v>Ввод</x:v>
      </x:c>
    </x:row>
    <x:row r="7" ht="15" hidden="0" customHeight="1">
      <x:c r="A7" s="13" t="str">
        <x:v>Поддержка</x:v>
      </x:c>
      <x:c r="B7" s="13" t="str">
        <x:v>Поддержка в месяц</x:v>
      </x:c>
      <x:c r="C7" s="19" t="n">
        <x:v>250000</x:v>
      </x:c>
      <x:c r="D7" s="13" t="str">
        <x:v>руб.</x:v>
      </x:c>
      <x:c r="E7" s="13" t="str">
        <x:v>Ежемесячные платежи.</x:v>
      </x:c>
      <x:c r="F7" s="13" t="str">
        <x:v>Ввод</x:v>
      </x:c>
    </x:row>
    <x:row r="8" ht="15" hidden="0" customHeight="1">
      <x:c r="A8" s="13" t="str">
        <x:v>Люди</x:v>
      </x:c>
      <x:c r="B8" s="13" t="str">
        <x:v>Внутренние трудозатраты в месяц</x:v>
      </x:c>
      <x:c r="C8" s="19" t="n">
        <x:v>120000</x:v>
      </x:c>
      <x:c r="D8" s="13" t="str">
        <x:v>руб.</x:v>
      </x:c>
      <x:c r="E8" s="13" t="str">
        <x:v>Команда клиента.</x:v>
      </x:c>
      <x:c r="F8" s="13" t="str">
        <x:v>Ввод</x:v>
      </x:c>
    </x:row>
    <x:row r="9" ht="15" hidden="0" customHeight="1">
      <x:c r="A9" s="13" t="str">
        <x:v>Риски</x:v>
      </x:c>
      <x:c r="B9" s="13" t="str">
        <x:v>Резерв на риски</x:v>
      </x:c>
      <x:c r="C9" s="20" t="n">
        <x:v>0.15</x:v>
      </x:c>
      <x:c r="D9" s="13" t="str">
        <x:v>%</x:v>
      </x:c>
      <x:c r="E9" s="13" t="str">
        <x:v>Буфер на перерасход.</x:v>
      </x:c>
      <x:c r="F9" s="13" t="str">
        <x:v>Ввод</x:v>
      </x:c>
    </x:row>
    <x:row r="10" ht="15" hidden="0" customHeight="1">
      <x:c r="A10" s="13" t="str">
        <x:v>Срок</x:v>
      </x:c>
      <x:c r="B10" s="13" t="str">
        <x:v>Горизонт владения</x:v>
      </x:c>
      <x:c r="C10" s="19" t="n">
        <x:v>24</x:v>
      </x:c>
      <x:c r="D10" s="13" t="str">
        <x:v>мес.</x:v>
      </x:c>
      <x:c r="E10" s="13" t="str">
        <x:v>Период TCO.</x:v>
      </x:c>
      <x:c r="F10" s="13" t="str">
        <x:v>Ввод</x:v>
      </x:c>
    </x:row>
    <x:row r="11" ht="15" hidden="0" customHeight="1">
      <x:c r="A11" s="13" t="str">
        <x:v>Эффект</x:v>
      </x:c>
      <x:c r="B11" s="13" t="str">
        <x:v>Экономия / эффект в месяц</x:v>
      </x:c>
      <x:c r="C11" s="19" t="n">
        <x:v>500000</x:v>
      </x:c>
      <x:c r="D11" s="13" t="str">
        <x:v>руб.</x:v>
      </x:c>
      <x:c r="E11" s="13" t="str">
        <x:v>Ожидаемый эффект.</x:v>
      </x:c>
      <x:c r="F11" s="13" t="str">
        <x:v>Ввод</x:v>
      </x:c>
    </x:row>
    <x:row r="12" ht="15" hidden="0" customHeight="1">
      <x:c r="A12" s="13" t="str">
        <x:v>Порог</x:v>
      </x:c>
      <x:c r="B12" s="13" t="str">
        <x:v>Максимально допустимый TCO</x:v>
      </x:c>
      <x:c r="C12" s="19" t="n">
        <x:v>11000000</x:v>
      </x:c>
      <x:c r="D12" s="13" t="str">
        <x:v>руб.</x:v>
      </x:c>
      <x:c r="E12" s="13" t="str">
        <x:v>Бюджетный лимит.</x:v>
      </x:c>
      <x:c r="F12" s="13" t="str">
        <x:v>Ввод</x:v>
      </x:c>
    </x:row>
    <x:row r="13" ht="15" hidden="0" customHeight="1">
      <x:c r="A13" s="13" t="str">
        <x:v>Данные</x:v>
      </x:c>
      <x:c r="B13" s="13" t="str">
        <x:v>Эффект подтвержден</x:v>
      </x:c>
      <x:c r="C13" s="18" t="str">
        <x:v>Да</x:v>
      </x:c>
      <x:c r="D13" s="13" t="str">
        <x:v>Да/Нет</x:v>
      </x:c>
      <x:c r="E13" s="13" t="str">
        <x:v>Подтвержден расчет эффекта.</x:v>
      </x:c>
      <x:c r="F13" s="13" t="str">
        <x:v>Ввод</x:v>
      </x:c>
    </x:row>
    <x:row r="14" ht="15" hidden="0" customHeight="1">
      <x:c r="A14" s="13" t="str">
        <x:v>Контроль</x:v>
      </x:c>
      <x:c r="B14" s="13" t="str">
        <x:v>Дата контроля</x:v>
      </x:c>
      <x:c r="C14" s="21" t="n">
        <x:v>46280</x:v>
      </x:c>
      <x:c r="D14" s="13" t="str">
        <x:v>дата</x:v>
      </x:c>
      <x:c r="E14" s="13" t="str">
        <x:v>Дата проверки проекта.</x:v>
      </x:c>
      <x:c r="F14" s="13" t="str">
        <x:v>Ввод</x:v>
      </x:c>
    </x:row>
    <x:row r="15" ht="15" hidden="0" customHeight="1">
      <x:c r="A15" s="13" t="str">
        <x:v>Ответственный</x:v>
      </x:c>
      <x:c r="B15" s="13" t="str">
        <x:v>Директор проекта</x:v>
      </x:c>
      <x:c r="C15" s="18" t="str">
        <x:v>Директор проекта</x:v>
      </x:c>
      <x:c r="D15" s="13" t="str">
        <x:v>роль</x:v>
      </x:c>
      <x:c r="E15" s="13" t="str">
        <x:v>Владелец проекта.</x:v>
      </x:c>
      <x:c r="F15" s="13" t="str">
        <x:v>Ввод</x:v>
      </x:c>
    </x:row>
  </x:sheetData>
  <x:mergeCells>
    <x:mergeCell ref="A1:F1"/>
    <x:mergeCell ref="A2:F2"/>
  </x:mergeCells>
  <x:dataValidations count="1">
    <x:dataValidation type="list" sqref="C13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4" hidden="0" customWidth="1"/>
    <x:col min="5" max="5" width="66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TCO</x:v>
      </x:c>
      <x:c r="B5" s="13" t="str">
        <x:v>Базовая стоимость владения</x:v>
      </x:c>
      <x:c r="C5" s="23" t="n">
        <x:f>'01 Ввод'!C5+'01 Ввод'!C6+('01 Ввод'!C7+'01 Ввод'!C8)*'01 Ввод'!C10</x:f>
        <x:v>13380000</x:v>
      </x:c>
      <x:c r="D5" s="13" t="str">
        <x:v>руб.</x:v>
      </x:c>
      <x:c r="E5" s="13" t="str">
        <x:v>Покупка + внедрение + поддержка + люди.</x:v>
      </x:c>
    </x:row>
    <x:row r="6" ht="15" hidden="0" customHeight="1">
      <x:c r="A6" s="13" t="str">
        <x:v>TCO</x:v>
      </x:c>
      <x:c r="B6" s="13" t="str">
        <x:v>Резерв риска</x:v>
      </x:c>
      <x:c r="C6" s="23" t="n">
        <x:f>C5*'01 Ввод'!C9</x:f>
        <x:v>2007000</x:v>
      </x:c>
      <x:c r="D6" s="13" t="str">
        <x:v>руб.</x:v>
      </x:c>
      <x:c r="E6" s="13" t="str">
        <x:v>Базовый TCO × риск.</x:v>
      </x:c>
    </x:row>
    <x:row r="7" ht="15" hidden="0" customHeight="1">
      <x:c r="A7" s="13" t="str">
        <x:v>TCO</x:v>
      </x:c>
      <x:c r="B7" s="13" t="str">
        <x:v>Полный TCO</x:v>
      </x:c>
      <x:c r="C7" s="23" t="n">
        <x:f>C5+C6</x:f>
        <x:v>15387000</x:v>
      </x:c>
      <x:c r="D7" s="13" t="str">
        <x:v>руб.</x:v>
      </x:c>
      <x:c r="E7" s="13" t="str">
        <x:v>Полная стоимость владения.</x:v>
      </x:c>
    </x:row>
    <x:row r="8" ht="15" hidden="0" customHeight="1">
      <x:c r="A8" s="13" t="str">
        <x:v>Эффект</x:v>
      </x:c>
      <x:c r="B8" s="13" t="str">
        <x:v>Эффект за горизонт</x:v>
      </x:c>
      <x:c r="C8" s="23" t="n">
        <x:f>'01 Ввод'!C11*'01 Ввод'!C10</x:f>
        <x:v>12000000</x:v>
      </x:c>
      <x:c r="D8" s="13" t="str">
        <x:v>руб.</x:v>
      </x:c>
      <x:c r="E8" s="13" t="str">
        <x:v>Месячный эффект × срок.</x:v>
      </x:c>
    </x:row>
    <x:row r="9" ht="15" hidden="0" customHeight="1">
      <x:c r="A9" s="13" t="str">
        <x:v>Итог</x:v>
      </x:c>
      <x:c r="B9" s="13" t="str">
        <x:v>Чистый эффект проекта</x:v>
      </x:c>
      <x:c r="C9" s="23" t="n">
        <x:f>C8-C7</x:f>
        <x:v>-3387000</x:v>
      </x:c>
      <x:c r="D9" s="13" t="str">
        <x:v>руб.</x:v>
      </x:c>
      <x:c r="E9" s="13" t="str">
        <x:v>Эффект - TCO.</x:v>
      </x:c>
    </x:row>
    <x:row r="10" ht="15" hidden="0" customHeight="1">
      <x:c r="A10" s="13" t="str">
        <x:v>ROI</x:v>
      </x:c>
      <x:c r="B10" s="13" t="str">
        <x:v>ROI / возврат инвестиций проекта</x:v>
      </x:c>
      <x:c r="C10" s="24" t="n">
        <x:f>IFERROR(C9/C7,0)</x:f>
        <x:v>-0.22012088126340418</x:v>
      </x:c>
      <x:c r="D10" s="13" t="str">
        <x:v>%</x:v>
      </x:c>
      <x:c r="E10" s="13" t="str">
        <x:v>Чистый эффект / TCO.</x:v>
      </x:c>
    </x:row>
    <x:row r="11" ht="15" hidden="0" customHeight="1">
      <x:c r="A11" s="13" t="str">
        <x:v>Дельта</x:v>
      </x:c>
      <x:c r="B11" s="13" t="str">
        <x:v>Запас к лимиту TCO</x:v>
      </x:c>
      <x:c r="C11" s="23" t="n">
        <x:f>'01 Ввод'!C12-C7</x:f>
        <x:v>-4387000</x:v>
      </x:c>
      <x:c r="D11" s="13" t="str">
        <x:v>руб.</x:v>
      </x:c>
      <x:c r="E11" s="13" t="str">
        <x:v>Лимит - TCO.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 / статус</x:v>
      </x:c>
      <x:c r="E4" s="11" t="str">
        <x:v>Вывод</x:v>
      </x:c>
    </x:row>
    <x:row r="5" ht="15" hidden="0" customHeight="1">
      <x:c r="A5" s="13" t="str">
        <x:v>База</x:v>
      </x:c>
      <x:c r="B5" s="25" t="n">
        <x:f>'02 Расчет'!C7</x:f>
        <x:v>15387000</x:v>
      </x:c>
      <x:c r="C5" s="25" t="n">
        <x:f>'02 Расчет'!C9</x:f>
        <x:v>-3387000</x:v>
      </x:c>
      <x:c r="D5" s="25" t="n">
        <x:f>C5</x:f>
        <x:v>-3387000</x:v>
      </x:c>
      <x:c r="E5" s="13" t="str">
        <x:f>IF(C5&gt;=0,"проходит","не проходит")</x:f>
        <x:v>не проходит</x:v>
      </x:c>
    </x:row>
    <x:row r="6" ht="15" hidden="0" customHeight="1">
      <x:c r="A6" s="13" t="str">
        <x:v>Риск +10 п.п.</x:v>
      </x:c>
      <x:c r="B6" s="25" t="n">
        <x:f>'01 Ввод'!C9+0.10</x:f>
        <x:v>0.25</x:v>
      </x:c>
      <x:c r="C6" s="25" t="n">
        <x:f>'02 Расчет'!C8-('02 Расчет'!C5*(1+B6))</x:f>
        <x:v>-4725000</x:v>
      </x:c>
      <x:c r="D6" s="25" t="n">
        <x:f>C6</x:f>
        <x:v>-4725000</x:v>
      </x:c>
      <x:c r="E6" s="13" t="str">
        <x:f>IF(C6&gt;=0,"проходит","не проходит")</x:f>
        <x:v>не проходит</x:v>
      </x:c>
    </x:row>
    <x:row r="7" ht="15" hidden="0" customHeight="1">
      <x:c r="A7" s="13" t="str">
        <x:v>Поддержка +30%</x:v>
      </x:c>
      <x:c r="B7" s="25" t="n">
        <x:f>'01 Ввод'!C7*1.3</x:f>
        <x:v>325000</x:v>
      </x:c>
      <x:c r="C7" s="25" t="n">
        <x:f>'02 Расчет'!C8-('01 Ввод'!C5+'01 Ввод'!C6+(B7+'01 Ввод'!C8)*'01 Ввод'!C10)*(1+'01 Ввод'!C9)</x:f>
        <x:v>-5457000</x:v>
      </x:c>
      <x:c r="D7" s="25" t="n">
        <x:f>C7</x:f>
        <x:v>-5457000</x:v>
      </x:c>
      <x:c r="E7" s="13" t="str">
        <x:f>IF(C7&gt;=0,"проходит","не проходит")</x:f>
        <x:v>не проходит</x:v>
      </x:c>
    </x:row>
    <x:row r="8" ht="15" hidden="0" customHeight="1">
      <x:c r="A8" s="13" t="str">
        <x:v>Эффект -30%</x:v>
      </x:c>
      <x:c r="B8" s="25" t="n">
        <x:f>'01 Ввод'!C11*0.7</x:f>
        <x:v>350000</x:v>
      </x:c>
      <x:c r="C8" s="25" t="n">
        <x:f>B8*'01 Ввод'!C10-'02 Расчет'!C7</x:f>
        <x:v>-6987000</x:v>
      </x:c>
      <x:c r="D8" s="25" t="n">
        <x:f>C8</x:f>
        <x:v>-6987000</x:v>
      </x:c>
      <x:c r="E8" s="13" t="str">
        <x:f>IF(C8&gt;=0,"проходит","не проходит")</x:f>
        <x:v>не проходит</x:v>
      </x:c>
    </x:row>
    <x:row r="9" ht="15" hidden="0" customHeight="1">
      <x:c r="A9" s="13" t="str">
        <x:v>Горизонт 36 мес.</x:v>
      </x:c>
      <x:c r="B9" s="25" t="n">
        <x:f>36</x:f>
        <x:v>36</x:v>
      </x:c>
      <x:c r="C9" s="25" t="n">
        <x:f>('01 Ввод'!C11*B9)-('01 Ввод'!C5+'01 Ввод'!C6+('01 Ввод'!C7+'01 Ввод'!C8)*B9)*(1+'01 Ввод'!C9)</x:f>
        <x:v>-2493000</x:v>
      </x:c>
      <x:c r="D9" s="25" t="n">
        <x:f>C9</x:f>
        <x:v>-2493000</x:v>
      </x:c>
      <x:c r="E9" s="13" t="str">
        <x:f>IF(C9&gt;=0,"проходит","не проходит")</x:f>
        <x:v>не 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64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решения: прибыль, деньги, налоги, операции, ресурсы и управляемость.</x:v>
      </x:c>
      <x:c r="B2" s="6" t="str">
        <x:v>Контуры показывают ограничения решения: прибыль, деньги, налоги, операции, ресурсы и управляемость.</x:v>
      </x:c>
      <x:c r="C2" s="6" t="str">
        <x:v>Контуры показывают ограничения решения: прибыль, деньги, налоги, операции, ресурсы и управляемость.</x:v>
      </x:c>
      <x:c r="D2" s="6" t="str">
        <x:v>Контуры показывают ограничения решения: прибыль, деньги, налоги, операции, ресурсы и управляемость.</x:v>
      </x:c>
      <x:c r="E2" s="6" t="str">
        <x:v>Контуры показывают ограничения решения: прибыль, деньги, налоги, операции, ресурсы и управляемость.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TCO</x:v>
      </x:c>
      <x:c r="B5" s="13" t="str">
        <x:v>TCO в пределах лимита</x:v>
      </x:c>
      <x:c r="C5" s="13" t="str">
        <x:f>IF('02 Расчет'!C11&gt;=0,"ОК","Провал")</x:f>
        <x:v>Провал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Эффект</x:v>
      </x:c>
      <x:c r="B6" s="13" t="str">
        <x:v>Чистый эффект положительный</x:v>
      </x:c>
      <x:c r="C6" s="13" t="str">
        <x:f>IF('02 Расчет'!C9&gt;=0,"ОК","Провал")</x:f>
        <x:v>Провал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Данные</x:v>
      </x:c>
      <x:c r="B7" s="13" t="str">
        <x:v>Эффект подтвержден</x:v>
      </x:c>
      <x:c r="C7" s="13" t="str">
        <x:f>IF('01 Ввод'!C13="Да","ОК","Провал")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4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Полный TCO</x:v>
      </x:c>
      <x:c r="B5" s="23" t="n">
        <x:f>'02 Расчет'!C7</x:f>
        <x:v>15387000</x:v>
      </x:c>
      <x:c r="C5" s="13" t="str">
        <x:v>Полная стоимость.</x:v>
      </x:c>
    </x:row>
    <x:row r="6" ht="15" hidden="0" customHeight="1">
      <x:c r="A6" s="13" t="str">
        <x:v>Лимит TCO</x:v>
      </x:c>
      <x:c r="B6" s="23" t="n">
        <x:f>'01 Ввод'!C12</x:f>
        <x:v>11000000</x:v>
      </x:c>
      <x:c r="C6" s="13" t="str">
        <x:v>Бюджетный лимит.</x:v>
      </x:c>
    </x:row>
    <x:row r="7" ht="15" hidden="0" customHeight="1">
      <x:c r="A7" s="13" t="str">
        <x:v>Чистый эффект</x:v>
      </x:c>
      <x:c r="B7" s="23" t="n">
        <x:f>'02 Расчет'!C9</x:f>
        <x:v>-3387000</x:v>
      </x:c>
      <x:c r="C7" s="13" t="str">
        <x:v>Эффект - TCO.</x:v>
      </x:c>
    </x:row>
    <x:row r="8" ht="15" hidden="0" customHeight="1">
      <x:c r="A8" s="13" t="str">
        <x:v>Эффект подтвержден</x:v>
      </x:c>
      <x:c r="B8" s="22" t="str">
        <x:f>'01 Ввод'!C13</x:f>
        <x:v>Да</x:v>
      </x:c>
      <x:c r="C8" s="13" t="str">
        <x:v>Да/Нет.</x:v>
      </x:c>
    </x:row>
    <x:row r="9" ht="15" hidden="0" customHeight="1">
      <x:c r="A9" s="27" t="str">
        <x:v>Статус решения</x:v>
      </x:c>
      <x:c r="B9" s="27" t="str">
        <x:f>IF(AND(B5&lt;=B6,B7&gt;=0,B8="Да"),"Можно",IF(AND(B7&gt;=0,B8="Да"),"Можно при условиях","Нельзя в текущей модели"))</x:f>
        <x:v>Нельзя в текущей модели</x:v>
      </x:c>
      <x:c r="C9" s="27" t="str">
        <x:v>Итоговый статус.</x:v>
      </x:c>
    </x:row>
    <x:row r="10"/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7" t="str">
        <x:v>Можно при условиях</x:v>
      </x:c>
      <x:c r="B14" s="27" t="str">
        <x:v>желтый: запуск только при числовых условиях</x:v>
      </x:c>
    </x:row>
    <x:row r="15" ht="26.399999618530273" hidden="0" customHeight="1">
      <x:c r="A15" s="30" t="str">
        <x:v>Нельзя в текущей модели</x:v>
      </x:c>
      <x:c r="B15" s="30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26.399999618530273" hidden="0" customHeight="1">
      <x:c r="A5" s="17" t="str">
        <x:v>Короткий ответ</x:v>
      </x:c>
      <x:c r="B5" s="17" t="str">
        <x:f>"Проект допустим, если полный TCO / совокупная стоимость владения не выше "&amp;TEXT('01 Ввод'!C12,"#,##0")&amp;" руб. и чистый эффект положительный."</x:f>
        <x:v>Проект допустим, если полный TCO / совокупная стоимость владения не выше 11,000,000 руб. и чистый эффект положительный.</x:v>
      </x:c>
    </x:row>
    <x:row r="6" ht="15" hidden="0" customHeight="1">
      <x:c r="A6" s="26" t="str">
        <x:v>Условия</x:v>
      </x:c>
      <x:c r="B6" s="26" t="str">
        <x:f>"Полный TCO: "&amp;TEXT('02 Расчет'!C7,"#,##0")&amp;" руб.; чистый эффект: "&amp;TEXT('02 Расчет'!C9,"#,##0")&amp;" руб."</x:f>
        <x:v>Полный TCO: 15,387,000 руб.; чистый эффект: -3,387,000 руб.</x:v>
      </x:c>
    </x:row>
    <x:row r="7" ht="15" hidden="0" customHeight="1">
      <x:c r="A7" s="26" t="str">
        <x:v>Пояснение</x:v>
      </x:c>
      <x:c r="B7" s="32" t="str">
        <x:f>"УМ считает не цену покупки, а полную стоимость владения с поддержкой, людьми и рисками."</x:f>
        <x:v>УМ считает не цену покупки, а полную стоимость владения с поддержкой, людьми и рисками.</x:v>
      </x:c>
    </x:row>
    <x:row r="8" ht="15" hidden="0" customHeight="1">
      <x:c r="A8" s="26" t="str">
        <x:v>Если условия не принимаются</x:v>
      </x:c>
      <x:c r="B8" s="26" t="str">
        <x:f>IF('05 Статус'!B9="Нельзя в текущей модели","Не утверждать проект в текущей конфигурации.","Запускать с лимитом TCO и контрольной датой.")</x:f>
        <x:v>Не утверждать проект в текущей конфигурации.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обороту, желанию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30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Полный TCO</x:v>
      </x:c>
      <x:c r="B5" s="13" t="n">
        <x:f>'01 Ввод'!C12</x:f>
        <x:v>11000000</x:v>
      </x:c>
      <x:c r="C5" s="18"/>
      <x:c r="D5" s="13" t="str">
        <x:f>IF(C5="","ждет факта",IF(C5&gt;=B5,"ОК","Отклонение"))</x:f>
        <x:v>ждет факта</x:v>
      </x:c>
      <x:c r="E5" s="13" t="str">
        <x:v>Остановить проект при превышении.</x:v>
      </x:c>
      <x:c r="F5" s="13" t="str">
        <x:v>Директор проекта</x:v>
      </x:c>
    </x:row>
    <x:row r="6" ht="15" hidden="0" customHeight="1">
      <x:c r="A6" s="13" t="str">
        <x:v>Чистый эффект</x:v>
      </x:c>
      <x:c r="B6" s="13" t="n">
        <x:f>0</x:f>
        <x:v>0</x:v>
      </x:c>
      <x:c r="C6" s="18"/>
      <x:c r="D6" s="13" t="str">
        <x:f>IF(C6="","ждет факта",IF(C6&gt;=B6,"ОК","Отклонение"))</x:f>
        <x:v>ждет факта</x:v>
      </x:c>
      <x:c r="E6" s="13" t="str">
        <x:v>Пересчитать эффект.</x:v>
      </x:c>
      <x:c r="F6" s="13" t="str">
        <x:v>Директор проекта</x:v>
      </x:c>
    </x:row>
    <x:row r="7" ht="15" hidden="0" customHeight="1">
      <x:c r="A7" s="13" t="str">
        <x:v>Дата контроля</x:v>
      </x:c>
      <x:c r="B7" s="13" t="n">
        <x:f>'01 Ввод'!C14</x:f>
        <x:v>46280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бюджет.</x:v>
      </x:c>
      <x:c r="F7" s="13" t="str">
        <x:v>Директор проекта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6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моделью, а не статичной задачей.</x:v>
      </x:c>
      <x:c r="B2" s="6" t="str">
        <x:v>Проверка подтверждает, что решатор является расчетной моделью, а не статичной задачей.</x:v>
      </x:c>
      <x:c r="C2" s="6" t="str">
        <x:v>Проверка подтверждает, что решатор является расчетной моделью, а не статичной задачей.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Ключевой показатель рассчитан</x:v>
      </x:c>
      <x:c r="B7" s="13" t="str">
        <x:f>IF('05 Статус'!B5&lt;&gt;"","PASS","FAIL")</x:f>
        <x:v>PASS</x:v>
      </x:c>
      <x:c r="C7" s="13" t="str">
        <x:v>Основной показатель числовой или текстовый.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