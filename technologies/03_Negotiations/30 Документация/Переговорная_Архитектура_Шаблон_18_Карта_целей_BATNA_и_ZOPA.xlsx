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арта целей" sheetId="1" state="visible" r:id="rId1"/>
    <sheet xmlns:r="http://schemas.openxmlformats.org/officeDocument/2006/relationships" name="BATNA - альтернатива" sheetId="2" state="visible" r:id="rId2"/>
    <sheet xmlns:r="http://schemas.openxmlformats.org/officeDocument/2006/relationships" name="ZOPA - зона соглашения" sheetId="3" state="visible" r:id="rId3"/>
    <sheet xmlns:r="http://schemas.openxmlformats.org/officeDocument/2006/relationships" name="Сводное решение" sheetId="4" state="visible" r:id="rId4"/>
    <sheet xmlns:r="http://schemas.openxmlformats.org/officeDocument/2006/relationships" name="Справочники" sheetId="5" state="visible" r:id="rId5"/>
    <sheet xmlns:r="http://schemas.openxmlformats.org/officeDocument/2006/relationships" name="Инструкция" sheetId="6" state="visible" r:id="rId6"/>
  </sheets>
  <definedNames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172033"/>
      <sz val="14"/>
    </font>
    <font>
      <name val="Carlito"/>
      <b val="1"/>
      <color rgb="FFFFFFFF"/>
      <sz val="11"/>
    </font>
    <font>
      <name val="Carlito"/>
      <b val="1"/>
      <color rgb="FF172033"/>
      <sz val="16"/>
    </font>
    <font>
      <name val="Carlito"/>
      <b val="1"/>
      <color rgb="FF172033"/>
      <sz val="11"/>
    </font>
    <font>
      <name val="Carlito"/>
      <b val="1"/>
      <color rgb="FFFFFFFF"/>
      <sz val="10"/>
    </font>
    <font>
      <name val="Carlito"/>
      <b val="1"/>
      <color rgb="FF1F2937"/>
      <sz val="10"/>
    </font>
    <font>
      <name val="Carlito"/>
      <color rgb="FF1F2937"/>
      <sz val="11"/>
    </font>
    <font>
      <name val="Carlito"/>
      <color rgb="FF1F2937"/>
      <sz val="10"/>
    </font>
    <font>
      <name val="Carlito"/>
      <b val="1"/>
      <color rgb="FF1F2937"/>
      <sz val="11"/>
    </font>
    <font>
      <name val="Arial"/>
      <color rgb="00111827"/>
      <sz val="10"/>
    </font>
    <font>
      <name val="Georgia"/>
      <b val="1"/>
      <color rgb="00F3EBDD"/>
      <sz val="16"/>
    </font>
    <font>
      <name val="Arial"/>
      <color rgb="00475569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F3EBDD"/>
      </patternFill>
    </fill>
    <fill>
      <patternFill patternType="solid">
        <fgColor rgb="00FBF8F2"/>
      </patternFill>
    </fill>
    <fill>
      <patternFill patternType="solid">
        <fgColor rgb="00FFFFFF"/>
      </patternFill>
    </fill>
  </fills>
  <borders count="8">
    <border/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</border>
    <border>
      <left style="thin">
        <color rgb="00D8C7B3"/>
      </left>
      <right style="thin">
        <color rgb="00D8C7B3"/>
      </right>
      <top style="thin">
        <color rgb="00D8C7B3"/>
      </top>
      <bottom style="thin">
        <color rgb="00D8C7B3"/>
      </bottom>
    </border>
    <border>
      <top style="thin">
        <color rgb="00D8C7B3"/>
      </top>
    </border>
    <border>
      <right style="thin">
        <color rgb="00D8C7B3"/>
      </right>
      <top style="thin">
        <color rgb="00D8C7B3"/>
      </top>
    </border>
    <border>
      <top style="thin">
        <color rgb="00D8C7B3"/>
      </top>
      <bottom style="thin">
        <color rgb="00D8C7B3"/>
      </bottom>
    </border>
    <border>
      <right style="thin">
        <color rgb="00D8C7B3"/>
      </right>
      <top style="thin">
        <color rgb="00D8C7B3"/>
      </top>
      <bottom style="thin">
        <color rgb="00D8C7B3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9" fontId="0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4" fillId="0" borderId="1" pivotButton="0" quotePrefix="0" xfId="0"/>
    <xf numFmtId="9" fontId="4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center" wrapText="1"/>
    </xf>
    <xf numFmtId="0" fontId="0" fillId="0" borderId="2" pivotButton="0" quotePrefix="0" xfId="0"/>
    <xf numFmtId="0" fontId="7" fillId="0" borderId="2" pivotButton="0" quotePrefix="0" xfId="0"/>
    <xf numFmtId="0" fontId="8" fillId="0" borderId="2" pivotButton="0" quotePrefix="0" xfId="0"/>
    <xf numFmtId="0" fontId="8" fillId="0" borderId="2" applyAlignment="1" pivotButton="0" quotePrefix="0" xfId="0">
      <alignment wrapText="1"/>
    </xf>
    <xf numFmtId="0" fontId="5" fillId="0" borderId="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6" fillId="0" borderId="2" applyAlignment="1" pivotButton="0" quotePrefix="0" xfId="0">
      <alignment wrapText="1"/>
    </xf>
    <xf numFmtId="0" fontId="7" fillId="0" borderId="2" applyAlignment="1" pivotButton="0" quotePrefix="0" xfId="0">
      <alignment wrapText="1"/>
    </xf>
    <xf numFmtId="0" fontId="7" fillId="0" borderId="2" applyAlignment="1" pivotButton="0" quotePrefix="0" xfId="0">
      <alignment wrapText="1"/>
    </xf>
    <xf numFmtId="0" fontId="8" fillId="0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6" fillId="0" borderId="2" applyAlignment="1" pivotButton="0" quotePrefix="0" xfId="0">
      <alignment vertical="center" wrapText="1"/>
    </xf>
    <xf numFmtId="0" fontId="11" fillId="2" borderId="3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12" fillId="3" borderId="3" applyAlignment="1" pivotButton="0" quotePrefix="0" xfId="0">
      <alignment vertical="center" wrapText="1"/>
    </xf>
    <xf numFmtId="0" fontId="10" fillId="4" borderId="3" applyAlignment="1" pivotButton="0" quotePrefix="0" xfId="0">
      <alignment vertical="top" wrapText="1"/>
    </xf>
    <xf numFmtId="9" fontId="10" fillId="4" borderId="3" applyAlignment="1" pivotButton="0" quotePrefix="0" xfId="0">
      <alignment vertical="top" wrapText="1"/>
    </xf>
    <xf numFmtId="0" fontId="10" fillId="5" borderId="3" applyAlignment="1" pivotButton="0" quotePrefix="0" xfId="0">
      <alignment vertical="top" wrapText="1"/>
    </xf>
    <xf numFmtId="0" fontId="13" fillId="2" borderId="3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style="7" min="1" max="1"/>
    <col width="28.88999938964844" customWidth="1" style="7" min="2" max="2"/>
    <col width="47.77999877929688" customWidth="1" style="7" min="3" max="3"/>
    <col width="40" customWidth="1" style="7" min="4" max="4"/>
    <col width="23.32999992370605" customWidth="1" style="7" min="5" max="5"/>
    <col width="13.32999992370605" customWidth="1" style="7" min="6" max="6"/>
    <col width="36.66999816894531" customWidth="1" style="7" min="7" max="7"/>
    <col width="13.32999992370605" customWidth="1" style="7" min="8" max="8"/>
  </cols>
  <sheetData>
    <row r="1" ht="30" customHeight="1" s="7">
      <c r="A1" s="46" t="inlineStr">
        <is>
          <t>18.1 Карта целей и порогов переговоров</t>
        </is>
      </c>
      <c r="B1" s="47" t="n"/>
      <c r="C1" s="47" t="n"/>
      <c r="D1" s="47" t="n"/>
      <c r="E1" s="47" t="n"/>
      <c r="F1" s="47" t="n"/>
      <c r="G1" s="47" t="n"/>
      <c r="H1" s="48" t="n"/>
    </row>
    <row r="2" ht="34" customHeight="1" s="7">
      <c r="A2" s="49" t="inlineStr">
        <is>
          <t>Рабочая форма Переговорной Архитектуры. Заполняется по конкретной ситуации; выводы проверяются перед Решением Руководителя.</t>
        </is>
      </c>
      <c r="B2" s="47" t="n"/>
      <c r="C2" s="47" t="n"/>
      <c r="D2" s="47" t="n"/>
      <c r="E2" s="47" t="n"/>
      <c r="F2" s="47" t="n"/>
      <c r="G2" s="47" t="n"/>
      <c r="H2" s="48" t="n"/>
    </row>
    <row r="3">
      <c r="A3" s="50" t="inlineStr">
        <is>
          <t>Всего</t>
        </is>
      </c>
      <c r="B3" s="50" t="n">
        <v>20</v>
      </c>
      <c r="C3" s="50" t="inlineStr">
        <is>
          <t>Заполнено</t>
        </is>
      </c>
      <c r="D3" s="50">
        <f>COUNTIF(D7:D22,"?*")</f>
        <v/>
      </c>
      <c r="E3" s="50" t="inlineStr">
        <is>
          <t>Готово</t>
        </is>
      </c>
      <c r="F3" s="50">
        <f>COUNTIF(E7:E22,"Готово")</f>
        <v/>
      </c>
      <c r="G3" s="50" t="inlineStr">
        <is>
          <t>Готовность</t>
        </is>
      </c>
      <c r="H3" s="51">
        <f>IF(B3=0,0,F3/B3)</f>
        <v/>
      </c>
    </row>
    <row r="4">
      <c r="A4" s="52" t="n"/>
      <c r="B4" s="52" t="n"/>
      <c r="C4" s="52" t="n"/>
      <c r="D4" s="52" t="n"/>
      <c r="E4" s="52" t="n"/>
      <c r="F4" s="52" t="n"/>
      <c r="G4" s="52" t="n"/>
      <c r="H4" s="52" t="n"/>
    </row>
    <row r="5">
      <c r="A5" s="50" t="n"/>
      <c r="B5" s="50" t="n"/>
      <c r="C5" s="50" t="n"/>
      <c r="D5" s="50" t="n"/>
      <c r="E5" s="50" t="n"/>
      <c r="F5" s="50" t="n"/>
      <c r="G5" s="50" t="n"/>
      <c r="H5" s="50" t="n"/>
    </row>
    <row r="6" ht="32" customHeight="1" s="7">
      <c r="A6" s="53" t="inlineStr">
        <is>
          <t>№</t>
        </is>
      </c>
      <c r="B6" s="53" t="inlineStr">
        <is>
          <t>Поле</t>
        </is>
      </c>
      <c r="C6" s="53" t="inlineStr">
        <is>
          <t>Что заполнить</t>
        </is>
      </c>
      <c r="D6" s="53" t="inlineStr">
        <is>
          <t>Значение</t>
        </is>
      </c>
      <c r="E6" s="53" t="inlineStr">
        <is>
          <t>Статус</t>
        </is>
      </c>
      <c r="F6" s="53" t="inlineStr">
        <is>
          <t>Приоритет</t>
        </is>
      </c>
      <c r="G6" s="53" t="inlineStr">
        <is>
          <t>Комментарий / доказательство</t>
        </is>
      </c>
      <c r="H6" s="53" t="inlineStr">
        <is>
          <t>Строки книги</t>
        </is>
      </c>
    </row>
    <row r="7">
      <c r="A7" s="50" t="n">
        <v>1</v>
      </c>
      <c r="B7" s="50" t="inlineStr">
        <is>
          <t>Основная цель переговоров</t>
        </is>
      </c>
      <c r="C7" s="50" t="inlineStr">
        <is>
          <t>Одна ясная формулировка главного результата.</t>
        </is>
      </c>
      <c r="D7" s="50" t="n"/>
      <c r="E7" s="50" t="inlineStr">
        <is>
          <t>Не начато</t>
        </is>
      </c>
      <c r="F7" s="50" t="inlineStr">
        <is>
          <t>Критично</t>
        </is>
      </c>
      <c r="G7" s="50" t="n"/>
      <c r="H7" s="50" t="inlineStr">
        <is>
          <t>5106-5110</t>
        </is>
      </c>
    </row>
    <row r="8">
      <c r="A8" s="52" t="n">
        <v>2</v>
      </c>
      <c r="B8" s="52" t="inlineStr">
        <is>
          <t>Количественный результат</t>
        </is>
      </c>
      <c r="C8" s="52" t="inlineStr">
        <is>
          <t>Цена, объем, срок, экономия, маржа или иной измеримый результат.</t>
        </is>
      </c>
      <c r="D8" s="52" t="n"/>
      <c r="E8" s="52" t="inlineStr">
        <is>
          <t>Не начато</t>
        </is>
      </c>
      <c r="F8" s="52" t="inlineStr">
        <is>
          <t>Критично</t>
        </is>
      </c>
      <c r="G8" s="52" t="n"/>
      <c r="H8" s="52" t="inlineStr">
        <is>
          <t>5108</t>
        </is>
      </c>
    </row>
    <row r="9">
      <c r="A9" s="50" t="n">
        <v>3</v>
      </c>
      <c r="B9" s="50" t="inlineStr">
        <is>
          <t>Качественный результат</t>
        </is>
      </c>
      <c r="C9" s="50" t="inlineStr">
        <is>
          <t>Сервис, качество отношений, уровень доверия, выполнение обязательств.</t>
        </is>
      </c>
      <c r="D9" s="50" t="n"/>
      <c r="E9" s="50" t="inlineStr">
        <is>
          <t>Не начато</t>
        </is>
      </c>
      <c r="F9" s="50" t="inlineStr">
        <is>
          <t>Важно</t>
        </is>
      </c>
      <c r="G9" s="50" t="n"/>
      <c r="H9" s="50" t="inlineStr">
        <is>
          <t>5108, 5778-5785</t>
        </is>
      </c>
    </row>
    <row r="10">
      <c r="A10" s="52" t="n">
        <v>4</v>
      </c>
      <c r="B10" s="52" t="inlineStr">
        <is>
          <t>Жесткие параметры</t>
        </is>
      </c>
      <c r="C10" s="52" t="inlineStr">
        <is>
          <t>Условия, по которым уступать нельзя.</t>
        </is>
      </c>
      <c r="D10" s="52" t="n"/>
      <c r="E10" s="52" t="inlineStr">
        <is>
          <t>Не начато</t>
        </is>
      </c>
      <c r="F10" s="52" t="inlineStr">
        <is>
          <t>Критично</t>
        </is>
      </c>
      <c r="G10" s="52" t="n"/>
      <c r="H10" s="52" t="inlineStr">
        <is>
          <t>5109, 5219, 5225</t>
        </is>
      </c>
    </row>
    <row r="11">
      <c r="A11" s="50" t="n">
        <v>5</v>
      </c>
      <c r="B11" s="50" t="inlineStr">
        <is>
          <t>Гибкие параметры</t>
        </is>
      </c>
      <c r="C11" s="50" t="inlineStr">
        <is>
          <t>Условия, где возможен маневр.</t>
        </is>
      </c>
      <c r="D11" s="50" t="n"/>
      <c r="E11" s="50" t="inlineStr">
        <is>
          <t>Не начато</t>
        </is>
      </c>
      <c r="F11" s="50" t="inlineStr">
        <is>
          <t>Критично</t>
        </is>
      </c>
      <c r="G11" s="50" t="n"/>
      <c r="H11" s="50" t="inlineStr">
        <is>
          <t>5109, 5220, 5226</t>
        </is>
      </c>
    </row>
    <row r="12">
      <c r="A12" s="52" t="n">
        <v>6</v>
      </c>
      <c r="B12" s="52" t="inlineStr">
        <is>
          <t>Минимально приемлемый результат</t>
        </is>
      </c>
      <c r="C12" s="52" t="inlineStr">
        <is>
          <t>Нижняя граница, ниже которой сделка становится вредной.</t>
        </is>
      </c>
      <c r="D12" s="52" t="n"/>
      <c r="E12" s="52" t="inlineStr">
        <is>
          <t>Не начато</t>
        </is>
      </c>
      <c r="F12" s="52" t="inlineStr">
        <is>
          <t>Критично</t>
        </is>
      </c>
      <c r="G12" s="52" t="n"/>
      <c r="H12" s="52" t="inlineStr">
        <is>
          <t>5161, 6045</t>
        </is>
      </c>
    </row>
    <row r="13">
      <c r="A13" s="50" t="n">
        <v>7</v>
      </c>
      <c r="B13" s="50" t="inlineStr">
        <is>
          <t>Идеальный результат</t>
        </is>
      </c>
      <c r="C13" s="50" t="inlineStr">
        <is>
          <t>Лучший результат, к которому стремится команда.</t>
        </is>
      </c>
      <c r="D13" s="50" t="n"/>
      <c r="E13" s="50" t="inlineStr">
        <is>
          <t>Не начато</t>
        </is>
      </c>
      <c r="F13" s="50" t="inlineStr">
        <is>
          <t>Важно</t>
        </is>
      </c>
      <c r="G13" s="50" t="n"/>
      <c r="H13" s="50" t="inlineStr">
        <is>
          <t>5162</t>
        </is>
      </c>
    </row>
    <row r="14">
      <c r="A14" s="52" t="n">
        <v>8</v>
      </c>
      <c r="B14" s="52" t="inlineStr">
        <is>
          <t>Промежуточные KPI / показатели</t>
        </is>
      </c>
      <c r="C14" s="52" t="inlineStr">
        <is>
          <t>2-3 признака продвижения переговоров.</t>
        </is>
      </c>
      <c r="D14" s="52" t="n"/>
      <c r="E14" s="52" t="inlineStr">
        <is>
          <t>Не начато</t>
        </is>
      </c>
      <c r="F14" s="52" t="inlineStr">
        <is>
          <t>Важно</t>
        </is>
      </c>
      <c r="G14" s="52" t="n"/>
      <c r="H14" s="52" t="inlineStr">
        <is>
          <t>5163</t>
        </is>
      </c>
    </row>
    <row r="15">
      <c r="A15" s="50" t="n">
        <v>9</v>
      </c>
      <c r="B15" s="50" t="inlineStr">
        <is>
          <t>Метод фиксации показателей</t>
        </is>
      </c>
      <c r="C15" s="50" t="inlineStr">
        <is>
          <t>Где фиксируется прогресс: протокол, чек-лист, CRM / система управления клиентами.</t>
        </is>
      </c>
      <c r="D15" s="50" t="n"/>
      <c r="E15" s="50" t="inlineStr">
        <is>
          <t>Не начато</t>
        </is>
      </c>
      <c r="F15" s="50" t="inlineStr">
        <is>
          <t>Важно</t>
        </is>
      </c>
      <c r="G15" s="50" t="n"/>
      <c r="H15" s="50" t="inlineStr">
        <is>
          <t>5164</t>
        </is>
      </c>
    </row>
    <row r="16">
      <c r="A16" s="52" t="n">
        <v>10</v>
      </c>
      <c r="B16" s="52" t="inlineStr">
        <is>
          <t>Механизм остановки</t>
        </is>
      </c>
      <c r="C16" s="52" t="inlineStr">
        <is>
          <t>Что должно произойти, чтобы остановить переговоры и перейти к альтернативам.</t>
        </is>
      </c>
      <c r="D16" s="52" t="n"/>
      <c r="E16" s="52" t="inlineStr">
        <is>
          <t>Не начато</t>
        </is>
      </c>
      <c r="F16" s="52" t="inlineStr">
        <is>
          <t>Критично</t>
        </is>
      </c>
      <c r="G16" s="52" t="n"/>
      <c r="H16" s="52" t="inlineStr">
        <is>
          <t>5165</t>
        </is>
      </c>
    </row>
    <row r="17">
      <c r="A17" s="50" t="n">
        <v>11</v>
      </c>
      <c r="B17" s="50" t="inlineStr">
        <is>
          <t>Основные интересы нашей стороны</t>
        </is>
      </c>
      <c r="C17" s="50" t="inlineStr">
        <is>
          <t>Потребности и мотивы: деньги, рынок, технологии, отношения, сроки.</t>
        </is>
      </c>
      <c r="D17" s="50" t="n"/>
      <c r="E17" s="50" t="inlineStr">
        <is>
          <t>Не начато</t>
        </is>
      </c>
      <c r="F17" s="50" t="inlineStr">
        <is>
          <t>Важно</t>
        </is>
      </c>
      <c r="G17" s="50" t="n"/>
      <c r="H17" s="50" t="inlineStr">
        <is>
          <t>5111-5115</t>
        </is>
      </c>
    </row>
    <row r="18">
      <c r="A18" s="52" t="n">
        <v>12</v>
      </c>
      <c r="B18" s="52" t="inlineStr">
        <is>
          <t>Второстепенные интересы</t>
        </is>
      </c>
      <c r="C18" s="52" t="inlineStr">
        <is>
          <t>Репутационные, информационные, логистические и иные значимые интересы.</t>
        </is>
      </c>
      <c r="D18" s="52" t="n"/>
      <c r="E18" s="52" t="inlineStr">
        <is>
          <t>Не начато</t>
        </is>
      </c>
      <c r="F18" s="52" t="inlineStr">
        <is>
          <t>Комфортно</t>
        </is>
      </c>
      <c r="G18" s="52" t="n"/>
      <c r="H18" s="52" t="inlineStr">
        <is>
          <t>5113</t>
        </is>
      </c>
    </row>
    <row r="19">
      <c r="A19" s="50" t="n">
        <v>13</v>
      </c>
      <c r="B19" s="50" t="inlineStr">
        <is>
          <t>Критерии успеха</t>
        </is>
      </c>
      <c r="C19" s="50" t="inlineStr">
        <is>
          <t>Как команда поймет, что переговоры прошли успешно.</t>
        </is>
      </c>
      <c r="D19" s="50" t="n"/>
      <c r="E19" s="50" t="inlineStr">
        <is>
          <t>Не начато</t>
        </is>
      </c>
      <c r="F19" s="50" t="inlineStr">
        <is>
          <t>Критично</t>
        </is>
      </c>
      <c r="G19" s="50" t="n"/>
      <c r="H19" s="50" t="inlineStr">
        <is>
          <t>5110, 5160-5165</t>
        </is>
      </c>
    </row>
    <row r="20">
      <c r="A20" s="52" t="n">
        <v>14</v>
      </c>
      <c r="B20" s="52" t="inlineStr">
        <is>
          <t>Риск плохого соглашения</t>
        </is>
      </c>
      <c r="C20" s="52" t="inlineStr">
        <is>
          <t>Чем опасна сделка ниже минимальных условий.</t>
        </is>
      </c>
      <c r="D20" s="52" t="n"/>
      <c r="E20" s="52" t="inlineStr">
        <is>
          <t>Не начато</t>
        </is>
      </c>
      <c r="F20" s="52" t="inlineStr">
        <is>
          <t>Критично</t>
        </is>
      </c>
      <c r="G20" s="52" t="n"/>
      <c r="H20" s="52" t="inlineStr">
        <is>
          <t>231-238, 5121-5124</t>
        </is>
      </c>
    </row>
    <row r="21">
      <c r="A21" s="50" t="n">
        <v>15</v>
      </c>
      <c r="B21" s="50" t="inlineStr">
        <is>
          <t>Критерий качества отношений</t>
        </is>
      </c>
      <c r="C21" s="50" t="inlineStr">
        <is>
          <t>Что должно сохраниться после сделки: доверие, повтор, партнерство.</t>
        </is>
      </c>
      <c r="D21" s="50" t="n"/>
      <c r="E21" s="50" t="inlineStr">
        <is>
          <t>Не начато</t>
        </is>
      </c>
      <c r="F21" s="50" t="inlineStr">
        <is>
          <t>Важно</t>
        </is>
      </c>
      <c r="G21" s="50" t="n"/>
      <c r="H21" s="50" t="inlineStr">
        <is>
          <t>5795-5803, 6085-6104</t>
        </is>
      </c>
    </row>
    <row r="22">
      <c r="A22" s="52" t="n">
        <v>16</v>
      </c>
      <c r="B22" s="52" t="inlineStr">
        <is>
          <t>Решение Руководителя</t>
        </is>
      </c>
      <c r="C22" s="52" t="inlineStr">
        <is>
          <t>Итоговое утверждение карты целей перед переговорами.</t>
        </is>
      </c>
      <c r="D22" s="52" t="n"/>
      <c r="E22" s="52" t="inlineStr">
        <is>
          <t>Не начато</t>
        </is>
      </c>
      <c r="F22" s="52" t="inlineStr">
        <is>
          <t>Критично</t>
        </is>
      </c>
      <c r="G22" s="52" t="n"/>
      <c r="H22" s="52" t="inlineStr">
        <is>
          <t>5249-5251</t>
        </is>
      </c>
    </row>
    <row r="23">
      <c r="A23" s="50" t="n">
        <v>17</v>
      </c>
      <c r="B23" s="50" t="inlineStr">
        <is>
          <t>Внутренний критерий готовности</t>
        </is>
      </c>
      <c r="C23" s="50" t="inlineStr">
        <is>
          <t>Что должно быть согласовано внутри до внешнего раунда.</t>
        </is>
      </c>
      <c r="D23" s="50" t="n"/>
      <c r="E23" s="50" t="inlineStr">
        <is>
          <t>Не начато</t>
        </is>
      </c>
      <c r="F23" s="50" t="inlineStr">
        <is>
          <t>Критично</t>
        </is>
      </c>
      <c r="G23" s="50" t="n"/>
      <c r="H23" s="50" t="inlineStr">
        <is>
          <t>выведено из прогонов</t>
        </is>
      </c>
    </row>
    <row r="24">
      <c r="A24" s="52" t="n">
        <v>18</v>
      </c>
      <c r="B24" s="52" t="inlineStr">
        <is>
          <t>Цена внутренней паузы</t>
        </is>
      </c>
      <c r="C24" s="52" t="inlineStr">
        <is>
          <t>Что теряет компания, если внутреннее решение задерживается.</t>
        </is>
      </c>
      <c r="D24" s="52" t="n"/>
      <c r="E24" s="52" t="inlineStr">
        <is>
          <t>Не начато</t>
        </is>
      </c>
      <c r="F24" s="52" t="inlineStr">
        <is>
          <t>Важно</t>
        </is>
      </c>
      <c r="G24" s="52" t="n"/>
      <c r="H24" s="52" t="inlineStr">
        <is>
          <t>выведено из прогонов</t>
        </is>
      </c>
    </row>
    <row r="25">
      <c r="A25" s="50" t="n">
        <v>19</v>
      </c>
      <c r="B25" s="50" t="inlineStr">
        <is>
          <t>Граница плохого внутреннего решения</t>
        </is>
      </c>
      <c r="C25" s="50" t="inlineStr">
        <is>
          <t>Когда внутреннее согласие ухудшает позицию сильнее, чем отказ или пауза.</t>
        </is>
      </c>
      <c r="D25" s="50" t="n"/>
      <c r="E25" s="50" t="inlineStr">
        <is>
          <t>Не начато</t>
        </is>
      </c>
      <c r="F25" s="50" t="inlineStr">
        <is>
          <t>Критично</t>
        </is>
      </c>
      <c r="G25" s="50" t="n"/>
      <c r="H25" s="50" t="inlineStr">
        <is>
          <t>выведено из прогонов</t>
        </is>
      </c>
    </row>
    <row r="26">
      <c r="A26" s="52" t="n">
        <v>20</v>
      </c>
      <c r="B26" s="52" t="inlineStr">
        <is>
          <t>Внешний раунд разрешен только после внутреннего минимума</t>
        </is>
      </c>
      <c r="C26" s="52" t="inlineStr">
        <is>
          <t>Фиксация решения Руководителя перед внешними переговорами.</t>
        </is>
      </c>
      <c r="D26" s="52" t="n"/>
      <c r="E26" s="52" t="inlineStr">
        <is>
          <t>Не начато</t>
        </is>
      </c>
      <c r="F26" s="52" t="inlineStr">
        <is>
          <t>Критично</t>
        </is>
      </c>
      <c r="G26" s="52" t="n"/>
      <c r="H26" s="52" t="inlineStr">
        <is>
          <t>выведено из прогонов</t>
        </is>
      </c>
    </row>
  </sheetData>
  <mergeCells count="2">
    <mergeCell ref="A2:H2"/>
    <mergeCell ref="A1:H1"/>
  </mergeCells>
  <dataValidations count="2">
    <dataValidation sqref="E7:E22" showDropDown="0" showInputMessage="0" showErrorMessage="0" allowBlank="0" type="list">
      <formula1>'Справочники'!$A$4:$A$8</formula1>
    </dataValidation>
    <dataValidation sqref="F7:F22" showDropDown="0" showInputMessage="0" showErrorMessage="0" allowBlank="0" type="list">
      <formula1>'Справочники'!$C$4:$C$6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style="7" min="1" max="1"/>
    <col width="30" customWidth="1" style="7" min="2" max="2"/>
    <col width="33.33000183105469" customWidth="1" style="7" min="3" max="3"/>
    <col width="13.32999992370605" customWidth="1" style="7" min="4" max="4"/>
    <col width="13.32999992370605" customWidth="1" style="7" min="5" max="5"/>
    <col width="16.67000007629395" customWidth="1" style="7" min="6" max="6"/>
    <col width="13.32999992370605" customWidth="1" style="7" min="7" max="7"/>
    <col width="14.4399995803833" customWidth="1" style="7" min="8" max="8"/>
    <col width="12.77999973297119" customWidth="1" style="7" min="9" max="9"/>
    <col width="27.78000068664551" customWidth="1" style="7" min="10" max="10"/>
    <col width="33.33000183105469" customWidth="1" style="7" min="11" max="11"/>
    <col width="16.67000007629395" customWidth="1" style="7" min="12" max="12"/>
  </cols>
  <sheetData>
    <row r="1" ht="30" customHeight="1" s="7">
      <c r="A1" s="46" t="inlineStr">
        <is>
          <t>18.2 BATNA / лучшая альтернатива: отдельная логика выхода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8" t="n"/>
    </row>
    <row r="2" ht="34" customHeight="1" s="7">
      <c r="A2" s="49" t="inlineStr">
        <is>
          <t>Рабочая форма Переговорной Архитектуры. Заполняется по конкретной ситуации; выводы проверяются перед Решением Руководителя.</t>
        </is>
      </c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8" t="n"/>
    </row>
    <row r="3">
      <c r="A3" s="50" t="n"/>
      <c r="B3" s="50" t="inlineStr">
        <is>
          <t>Лучший балл</t>
        </is>
      </c>
      <c r="C3" s="50">
        <f>IF(COUNT(I7:I14)=0,"",MAX(I7:I14))</f>
        <v/>
      </c>
      <c r="D3" s="50" t="n"/>
      <c r="E3" s="50" t="inlineStr">
        <is>
          <t>Готово</t>
        </is>
      </c>
      <c r="F3" s="50">
        <f>COUNTIF(J7:J14,"Использовать")</f>
        <v/>
      </c>
      <c r="G3" s="50" t="n"/>
      <c r="H3" s="50" t="n"/>
      <c r="I3" s="50" t="n"/>
      <c r="J3" s="50" t="n"/>
      <c r="K3" s="50" t="inlineStr">
        <is>
          <t>Источник</t>
        </is>
      </c>
      <c r="L3" s="50" t="inlineStr">
        <is>
          <t>строки 5122, 5124, 5147</t>
        </is>
      </c>
    </row>
    <row r="4">
      <c r="A4" s="52" t="n"/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</row>
    <row r="5">
      <c r="A5" s="50" t="n"/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  <c r="K5" s="50" t="n"/>
      <c r="L5" s="50" t="n"/>
    </row>
    <row r="6" ht="32" customHeight="1" s="7">
      <c r="A6" s="53" t="inlineStr">
        <is>
          <t>№</t>
        </is>
      </c>
      <c r="B6" s="53" t="inlineStr">
        <is>
          <t>Альтернатива</t>
        </is>
      </c>
      <c r="C6" s="53" t="inlineStr">
        <is>
          <t>Что дает</t>
        </is>
      </c>
      <c r="D6" s="53" t="inlineStr">
        <is>
          <t>Доступность 1-5</t>
        </is>
      </c>
      <c r="E6" s="53" t="inlineStr">
        <is>
          <t>Ценность 1-5</t>
        </is>
      </c>
      <c r="F6" s="53" t="inlineStr">
        <is>
          <t>Приемлемость затрат 1-5</t>
        </is>
      </c>
      <c r="G6" s="53" t="inlineStr">
        <is>
          <t>Низкий риск 1-5</t>
        </is>
      </c>
      <c r="H6" s="53" t="inlineStr">
        <is>
          <t>Срок запуска</t>
        </is>
      </c>
      <c r="I6" s="53" t="inlineStr">
        <is>
          <t>Итоговый балл</t>
        </is>
      </c>
      <c r="J6" s="53" t="inlineStr">
        <is>
          <t>Решение</t>
        </is>
      </c>
      <c r="K6" s="53" t="inlineStr">
        <is>
          <t>Комментарий</t>
        </is>
      </c>
      <c r="L6" s="53" t="inlineStr">
        <is>
          <t>Строки книги</t>
        </is>
      </c>
    </row>
    <row r="7">
      <c r="A7" s="50" t="n">
        <v>1</v>
      </c>
      <c r="B7" s="50" t="n"/>
      <c r="C7" s="50" t="n"/>
      <c r="D7" s="50" t="n"/>
      <c r="E7" s="50" t="n"/>
      <c r="F7" s="50" t="n"/>
      <c r="G7" s="50" t="n"/>
      <c r="H7" s="50" t="n"/>
      <c r="I7" s="50">
        <f>IF(COUNT(D7:G7)=0,"",AVERAGE(D7:G7))</f>
        <v/>
      </c>
      <c r="J7" s="50" t="inlineStr">
        <is>
          <t>Проверить</t>
        </is>
      </c>
      <c r="K7" s="50" t="n"/>
      <c r="L7" s="50" t="inlineStr">
        <is>
          <t>5122, 5124, 5147</t>
        </is>
      </c>
    </row>
    <row r="8">
      <c r="A8" s="52" t="n">
        <v>2</v>
      </c>
      <c r="B8" s="52" t="n"/>
      <c r="C8" s="52" t="n"/>
      <c r="D8" s="52" t="n"/>
      <c r="E8" s="52" t="n"/>
      <c r="F8" s="52" t="n"/>
      <c r="G8" s="52" t="n"/>
      <c r="H8" s="52" t="n"/>
      <c r="I8" s="52">
        <f>IF(COUNT(D8:G8)=0,"",AVERAGE(D8:G8))</f>
        <v/>
      </c>
      <c r="J8" s="52" t="inlineStr">
        <is>
          <t>Проверить</t>
        </is>
      </c>
      <c r="K8" s="52" t="n"/>
      <c r="L8" s="52" t="inlineStr">
        <is>
          <t>5122, 5124, 5147</t>
        </is>
      </c>
    </row>
    <row r="9">
      <c r="A9" s="50" t="n">
        <v>3</v>
      </c>
      <c r="B9" s="50" t="n"/>
      <c r="C9" s="50" t="n"/>
      <c r="D9" s="50" t="n"/>
      <c r="E9" s="50" t="n"/>
      <c r="F9" s="50" t="n"/>
      <c r="G9" s="50" t="n"/>
      <c r="H9" s="50" t="n"/>
      <c r="I9" s="50">
        <f>IF(COUNT(D9:G9)=0,"",AVERAGE(D9:G9))</f>
        <v/>
      </c>
      <c r="J9" s="50" t="inlineStr">
        <is>
          <t>Проверить</t>
        </is>
      </c>
      <c r="K9" s="50" t="n"/>
      <c r="L9" s="50" t="inlineStr">
        <is>
          <t>5122, 5124, 5147</t>
        </is>
      </c>
    </row>
    <row r="10">
      <c r="A10" s="52" t="n">
        <v>4</v>
      </c>
      <c r="B10" s="52" t="n"/>
      <c r="C10" s="52" t="n"/>
      <c r="D10" s="52" t="n"/>
      <c r="E10" s="52" t="n"/>
      <c r="F10" s="52" t="n"/>
      <c r="G10" s="52" t="n"/>
      <c r="H10" s="52" t="n"/>
      <c r="I10" s="52">
        <f>IF(COUNT(D10:G10)=0,"",AVERAGE(D10:G10))</f>
        <v/>
      </c>
      <c r="J10" s="52" t="inlineStr">
        <is>
          <t>Проверить</t>
        </is>
      </c>
      <c r="K10" s="52" t="n"/>
      <c r="L10" s="52" t="inlineStr">
        <is>
          <t>5122, 5124, 5147</t>
        </is>
      </c>
    </row>
    <row r="11">
      <c r="A11" s="50" t="n">
        <v>5</v>
      </c>
      <c r="B11" s="50" t="n"/>
      <c r="C11" s="50" t="n"/>
      <c r="D11" s="50" t="n"/>
      <c r="E11" s="50" t="n"/>
      <c r="F11" s="50" t="n"/>
      <c r="G11" s="50" t="n"/>
      <c r="H11" s="50" t="n"/>
      <c r="I11" s="50">
        <f>IF(COUNT(D11:G11)=0,"",AVERAGE(D11:G11))</f>
        <v/>
      </c>
      <c r="J11" s="50" t="inlineStr">
        <is>
          <t>Проверить</t>
        </is>
      </c>
      <c r="K11" s="50" t="n"/>
      <c r="L11" s="50" t="inlineStr">
        <is>
          <t>5122, 5124, 5147</t>
        </is>
      </c>
    </row>
    <row r="12">
      <c r="A12" s="52" t="n">
        <v>6</v>
      </c>
      <c r="B12" s="52" t="n"/>
      <c r="C12" s="52" t="n"/>
      <c r="D12" s="52" t="n"/>
      <c r="E12" s="52" t="n"/>
      <c r="F12" s="52" t="n"/>
      <c r="G12" s="52" t="n"/>
      <c r="H12" s="52" t="n"/>
      <c r="I12" s="52">
        <f>IF(COUNT(D12:G12)=0,"",AVERAGE(D12:G12))</f>
        <v/>
      </c>
      <c r="J12" s="52" t="inlineStr">
        <is>
          <t>Проверить</t>
        </is>
      </c>
      <c r="K12" s="52" t="n"/>
      <c r="L12" s="52" t="inlineStr">
        <is>
          <t>5122, 5124, 5147</t>
        </is>
      </c>
    </row>
    <row r="13">
      <c r="A13" s="50" t="n">
        <v>7</v>
      </c>
      <c r="B13" s="50" t="n"/>
      <c r="C13" s="50" t="n"/>
      <c r="D13" s="50" t="n"/>
      <c r="E13" s="50" t="n"/>
      <c r="F13" s="50" t="n"/>
      <c r="G13" s="50" t="n"/>
      <c r="H13" s="50" t="n"/>
      <c r="I13" s="50">
        <f>IF(COUNT(D13:G13)=0,"",AVERAGE(D13:G13))</f>
        <v/>
      </c>
      <c r="J13" s="50" t="inlineStr">
        <is>
          <t>Проверить</t>
        </is>
      </c>
      <c r="K13" s="50" t="n"/>
      <c r="L13" s="50" t="inlineStr">
        <is>
          <t>5122, 5124, 5147</t>
        </is>
      </c>
    </row>
    <row r="14">
      <c r="A14" s="52" t="n">
        <v>8</v>
      </c>
      <c r="B14" s="52" t="n"/>
      <c r="C14" s="52" t="n"/>
      <c r="D14" s="52" t="n"/>
      <c r="E14" s="52" t="n"/>
      <c r="F14" s="52" t="n"/>
      <c r="G14" s="52" t="n"/>
      <c r="H14" s="52" t="n"/>
      <c r="I14" s="52">
        <f>IF(COUNT(D14:G14)=0,"",AVERAGE(D14:G14))</f>
        <v/>
      </c>
      <c r="J14" s="52" t="inlineStr">
        <is>
          <t>Проверить</t>
        </is>
      </c>
      <c r="K14" s="52" t="n"/>
      <c r="L14" s="52" t="inlineStr">
        <is>
          <t>5122, 5124, 5147</t>
        </is>
      </c>
    </row>
    <row r="15">
      <c r="A15" s="50" t="n"/>
      <c r="B15" s="50" t="inlineStr">
        <is>
          <t>Внутренняя BATNA / лучшая альтернатива</t>
        </is>
      </c>
      <c r="C15" s="50" t="inlineStr">
        <is>
          <t>Не только внешний запасной клиент или поставщик, но и управленческий выход: пауза, отказ от плохого решения, другой бюджет, другой канал, перенос запуска.</t>
        </is>
      </c>
      <c r="D15" s="50" t="str"/>
      <c r="E15" s="50" t="str"/>
      <c r="F15" s="50" t="str"/>
      <c r="G15" s="50" t="str"/>
      <c r="H15" s="50" t="str"/>
      <c r="I15" s="50" t="str"/>
      <c r="J15" s="50" t="inlineStr">
        <is>
          <t>Проверить</t>
        </is>
      </c>
      <c r="K15" s="50" t="inlineStr">
        <is>
          <t>Заполняется до внешнего раунда</t>
        </is>
      </c>
      <c r="L15" s="50" t="inlineStr">
        <is>
          <t>выведено из прогонов</t>
        </is>
      </c>
    </row>
    <row r="16">
      <c r="A16" s="52" t="n"/>
      <c r="B16" s="52" t="inlineStr">
        <is>
          <t>Пример для сети</t>
        </is>
      </c>
      <c r="C16" s="52" t="inlineStr">
        <is>
          <t>Если условия сети разрушают маржу, альтернатива может быть: локальные сети, маркетплейс, сезонная продажа, ограниченный пилот или отказ от входа.</t>
        </is>
      </c>
      <c r="D16" s="52" t="str"/>
      <c r="E16" s="52" t="str"/>
      <c r="F16" s="52" t="str"/>
      <c r="G16" s="52" t="str"/>
      <c r="H16" s="52" t="str"/>
      <c r="I16" s="52" t="str"/>
      <c r="J16" s="52" t="inlineStr">
        <is>
          <t>Проверить</t>
        </is>
      </c>
      <c r="K16" s="52" t="inlineStr">
        <is>
          <t>Не обещает победу, но снижает риск плохой сделки</t>
        </is>
      </c>
      <c r="L16" s="52" t="inlineStr">
        <is>
          <t>выведено из прогонов</t>
        </is>
      </c>
    </row>
    <row r="17">
      <c r="A17" s="50" t="n"/>
      <c r="B17" s="50" t="inlineStr">
        <is>
          <t>Пример внутри</t>
        </is>
      </c>
      <c r="C17" s="50" t="inlineStr">
        <is>
          <t>Если команда не готова к внешнему раунду, альтернатива: пауза, пересчет экономики, сокращение ассортимента, смена пакета условий.</t>
        </is>
      </c>
      <c r="D17" s="50" t="str"/>
      <c r="E17" s="50" t="str"/>
      <c r="F17" s="50" t="str"/>
      <c r="G17" s="50" t="str"/>
      <c r="H17" s="50" t="str"/>
      <c r="I17" s="50" t="str"/>
      <c r="J17" s="50" t="inlineStr">
        <is>
          <t>Проверить</t>
        </is>
      </c>
      <c r="K17" s="50" t="inlineStr">
        <is>
          <t>Защищает внешнюю позицию</t>
        </is>
      </c>
      <c r="L17" s="50" t="inlineStr">
        <is>
          <t>выведено из прогонов</t>
        </is>
      </c>
    </row>
  </sheetData>
  <mergeCells count="2">
    <mergeCell ref="A2:L2"/>
    <mergeCell ref="A1:L1"/>
  </mergeCells>
  <dataValidations count="2">
    <dataValidation sqref="D7:G14" showDropDown="0" showInputMessage="0" showErrorMessage="0" allowBlank="0" type="whole" operator="between">
      <formula1>1</formula1>
      <formula2>5</formula2>
    </dataValidation>
    <dataValidation sqref="J7:J14" showDropDown="0" showInputMessage="0" showErrorMessage="0" allowBlank="0" type="list">
      <formula1>'Справочники'!$G$4:$G$8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style="7" min="1" max="1"/>
    <col width="24.44000053405762" customWidth="1" style="7" min="2" max="2"/>
    <col width="20" customWidth="1" style="7" min="3" max="3"/>
    <col width="20" customWidth="1" style="7" min="4" max="4"/>
    <col width="20" customWidth="1" style="7" min="5" max="5"/>
    <col width="28.88999938964844" customWidth="1" style="7" min="6" max="6"/>
    <col width="28.88999938964844" customWidth="1" style="7" min="7" max="7"/>
    <col width="24.44000053405762" customWidth="1" style="7" min="8" max="8"/>
    <col width="35.56000137329102" customWidth="1" style="7" min="9" max="9"/>
    <col width="13.32999992370605" customWidth="1" style="7" min="10" max="10"/>
  </cols>
  <sheetData>
    <row r="1" ht="30" customHeight="1" s="7">
      <c r="A1" s="46" t="inlineStr">
        <is>
          <t>18.3 ZOPA / зона соглашения: отдельная логика диапазона сделки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8" t="n"/>
    </row>
    <row r="2" ht="34" customHeight="1" s="7">
      <c r="A2" s="49" t="inlineStr">
        <is>
          <t>Рабочая форма Переговорной Архитектуры. Заполняется по конкретной ситуации; выводы проверяются перед Решением Руководителя.</t>
        </is>
      </c>
      <c r="B2" s="47" t="n"/>
      <c r="C2" s="47" t="n"/>
      <c r="D2" s="47" t="n"/>
      <c r="E2" s="47" t="n"/>
      <c r="F2" s="47" t="n"/>
      <c r="G2" s="47" t="n"/>
      <c r="H2" s="47" t="n"/>
      <c r="I2" s="47" t="n"/>
      <c r="J2" s="48" t="n"/>
    </row>
    <row r="3">
      <c r="A3" s="50" t="n"/>
      <c r="B3" s="50" t="inlineStr">
        <is>
          <t>Зон соглашения</t>
        </is>
      </c>
      <c r="C3" s="50">
        <f>COUNTIF(G7:G16,"?*")</f>
        <v/>
      </c>
      <c r="D3" s="50" t="n"/>
      <c r="E3" s="50" t="inlineStr">
        <is>
          <t>Красных линий</t>
        </is>
      </c>
      <c r="F3" s="50">
        <f>COUNTIF(H7:H16,"?*")</f>
        <v/>
      </c>
      <c r="G3" s="50" t="n"/>
      <c r="H3" s="50" t="n"/>
      <c r="I3" s="50" t="inlineStr">
        <is>
          <t>Источник</t>
        </is>
      </c>
      <c r="J3" s="50" t="inlineStr">
        <is>
          <t>строки 5123, 6045</t>
        </is>
      </c>
    </row>
    <row r="4">
      <c r="A4" s="52" t="n"/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</row>
    <row r="5">
      <c r="A5" s="50" t="n"/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</row>
    <row r="6" ht="32" customHeight="1" s="7">
      <c r="A6" s="53" t="inlineStr">
        <is>
          <t>№</t>
        </is>
      </c>
      <c r="B6" s="53" t="inlineStr">
        <is>
          <t>Параметр</t>
        </is>
      </c>
      <c r="C6" s="53" t="inlineStr">
        <is>
          <t>Наша нижняя граница</t>
        </is>
      </c>
      <c r="D6" s="53" t="inlineStr">
        <is>
          <t>Наша цель</t>
        </is>
      </c>
      <c r="E6" s="53" t="inlineStr">
        <is>
          <t>Наша верхняя граница</t>
        </is>
      </c>
      <c r="F6" s="53" t="inlineStr">
        <is>
          <t>Прогноз границ контрагента</t>
        </is>
      </c>
      <c r="G6" s="53" t="inlineStr">
        <is>
          <t>Возможная зона соглашения</t>
        </is>
      </c>
      <c r="H6" s="53" t="inlineStr">
        <is>
          <t>Красная линия</t>
        </is>
      </c>
      <c r="I6" s="53" t="inlineStr">
        <is>
          <t>Комментарий / доказательство</t>
        </is>
      </c>
      <c r="J6" s="53" t="inlineStr">
        <is>
          <t>Строки книги</t>
        </is>
      </c>
    </row>
    <row r="7">
      <c r="A7" s="50" t="n">
        <v>1</v>
      </c>
      <c r="B7" s="50" t="inlineStr">
        <is>
          <t>Цена</t>
        </is>
      </c>
      <c r="C7" s="50" t="n"/>
      <c r="D7" s="50" t="n"/>
      <c r="E7" s="50" t="n"/>
      <c r="F7" s="50" t="n"/>
      <c r="G7" s="50" t="n"/>
      <c r="H7" s="50" t="n"/>
      <c r="I7" s="50" t="n"/>
      <c r="J7" s="50" t="inlineStr">
        <is>
          <t>5123, 6045</t>
        </is>
      </c>
    </row>
    <row r="8">
      <c r="A8" s="52" t="n">
        <v>2</v>
      </c>
      <c r="B8" s="52" t="inlineStr">
        <is>
          <t>Сроки</t>
        </is>
      </c>
      <c r="C8" s="52" t="n"/>
      <c r="D8" s="52" t="n"/>
      <c r="E8" s="52" t="n"/>
      <c r="F8" s="52" t="n"/>
      <c r="G8" s="52" t="n"/>
      <c r="H8" s="52" t="n"/>
      <c r="I8" s="52" t="n"/>
      <c r="J8" s="52" t="inlineStr">
        <is>
          <t>5123, 6045</t>
        </is>
      </c>
    </row>
    <row r="9">
      <c r="A9" s="50" t="n">
        <v>3</v>
      </c>
      <c r="B9" s="50" t="inlineStr">
        <is>
          <t>Объем</t>
        </is>
      </c>
      <c r="C9" s="50" t="n"/>
      <c r="D9" s="50" t="n"/>
      <c r="E9" s="50" t="n"/>
      <c r="F9" s="50" t="n"/>
      <c r="G9" s="50" t="n"/>
      <c r="H9" s="50" t="n"/>
      <c r="I9" s="50" t="n"/>
      <c r="J9" s="50" t="inlineStr">
        <is>
          <t>5123, 6045</t>
        </is>
      </c>
    </row>
    <row r="10">
      <c r="A10" s="52" t="n">
        <v>4</v>
      </c>
      <c r="B10" s="52" t="inlineStr">
        <is>
          <t>Условия оплаты</t>
        </is>
      </c>
      <c r="C10" s="52" t="n"/>
      <c r="D10" s="52" t="n"/>
      <c r="E10" s="52" t="n"/>
      <c r="F10" s="52" t="n"/>
      <c r="G10" s="52" t="n"/>
      <c r="H10" s="52" t="n"/>
      <c r="I10" s="52" t="n"/>
      <c r="J10" s="52" t="inlineStr">
        <is>
          <t>5123, 6045</t>
        </is>
      </c>
    </row>
    <row r="11">
      <c r="A11" s="50" t="n">
        <v>5</v>
      </c>
      <c r="B11" s="50" t="inlineStr">
        <is>
          <t>Сервис</t>
        </is>
      </c>
      <c r="C11" s="50" t="n"/>
      <c r="D11" s="50" t="n"/>
      <c r="E11" s="50" t="n"/>
      <c r="F11" s="50" t="n"/>
      <c r="G11" s="50" t="n"/>
      <c r="H11" s="50" t="n"/>
      <c r="I11" s="50" t="n"/>
      <c r="J11" s="50" t="inlineStr">
        <is>
          <t>5123, 6045</t>
        </is>
      </c>
    </row>
    <row r="12">
      <c r="A12" s="52" t="n">
        <v>6</v>
      </c>
      <c r="B12" s="52" t="inlineStr">
        <is>
          <t>Гарантии</t>
        </is>
      </c>
      <c r="C12" s="52" t="n"/>
      <c r="D12" s="52" t="n"/>
      <c r="E12" s="52" t="n"/>
      <c r="F12" s="52" t="n"/>
      <c r="G12" s="52" t="n"/>
      <c r="H12" s="52" t="n"/>
      <c r="I12" s="52" t="n"/>
      <c r="J12" s="52" t="inlineStr">
        <is>
          <t>5123, 6045</t>
        </is>
      </c>
    </row>
    <row r="13">
      <c r="A13" s="50" t="n">
        <v>7</v>
      </c>
      <c r="B13" s="50" t="inlineStr">
        <is>
          <t>Ответственность</t>
        </is>
      </c>
      <c r="C13" s="50" t="n"/>
      <c r="D13" s="50" t="n"/>
      <c r="E13" s="50" t="n"/>
      <c r="F13" s="50" t="n"/>
      <c r="G13" s="50" t="n"/>
      <c r="H13" s="50" t="n"/>
      <c r="I13" s="50" t="n"/>
      <c r="J13" s="50" t="inlineStr">
        <is>
          <t>5123, 6045</t>
        </is>
      </c>
    </row>
    <row r="14">
      <c r="A14" s="52" t="n">
        <v>8</v>
      </c>
      <c r="B14" s="52" t="inlineStr">
        <is>
          <t>Дополнительные обязательства</t>
        </is>
      </c>
      <c r="C14" s="52" t="n"/>
      <c r="D14" s="52" t="n"/>
      <c r="E14" s="52" t="n"/>
      <c r="F14" s="52" t="n"/>
      <c r="G14" s="52" t="n"/>
      <c r="H14" s="52" t="n"/>
      <c r="I14" s="52" t="n"/>
      <c r="J14" s="52" t="inlineStr">
        <is>
          <t>5123, 6045</t>
        </is>
      </c>
    </row>
    <row r="15">
      <c r="A15" s="50" t="n">
        <v>9</v>
      </c>
      <c r="B15" s="50" t="inlineStr">
        <is>
          <t>Порядок исполнения</t>
        </is>
      </c>
      <c r="C15" s="50" t="n"/>
      <c r="D15" s="50" t="n"/>
      <c r="E15" s="50" t="n"/>
      <c r="F15" s="50" t="n"/>
      <c r="G15" s="50" t="n"/>
      <c r="H15" s="50" t="n"/>
      <c r="I15" s="50" t="n"/>
      <c r="J15" s="50" t="inlineStr">
        <is>
          <t>5123, 6045</t>
        </is>
      </c>
    </row>
    <row r="16">
      <c r="A16" s="52" t="n">
        <v>10</v>
      </c>
      <c r="B16" s="52" t="inlineStr">
        <is>
          <t>Условия выхода</t>
        </is>
      </c>
      <c r="C16" s="52" t="n"/>
      <c r="D16" s="52" t="n"/>
      <c r="E16" s="52" t="n"/>
      <c r="F16" s="52" t="n"/>
      <c r="G16" s="52" t="n"/>
      <c r="H16" s="52" t="n"/>
      <c r="I16" s="52" t="n"/>
      <c r="J16" s="52" t="inlineStr">
        <is>
          <t>5123, 6045</t>
        </is>
      </c>
    </row>
    <row r="17">
      <c r="A17" s="50" t="n"/>
      <c r="B17" s="50" t="inlineStr">
        <is>
          <t>Внутренняя ZOPA / зона соглашения</t>
        </is>
      </c>
      <c r="C17" s="50" t="inlineStr">
        <is>
          <t>минимум компании</t>
        </is>
      </c>
      <c r="D17" s="50" t="inlineStr">
        <is>
          <t>цель компании</t>
        </is>
      </c>
      <c r="E17" s="50" t="inlineStr">
        <is>
          <t>верхняя граница уступок</t>
        </is>
      </c>
      <c r="F17" s="50" t="inlineStr">
        <is>
          <t>границы внутреннего согласования</t>
        </is>
      </c>
      <c r="G17" s="50" t="inlineStr">
        <is>
          <t>возможная зона внутреннего согласия</t>
        </is>
      </c>
      <c r="H17" s="50" t="inlineStr">
        <is>
          <t>красная линия</t>
        </is>
      </c>
      <c r="I17" s="50" t="inlineStr">
        <is>
          <t>До внешнего раунда нужно знать, в каком диапазоне команда реально может двигаться.</t>
        </is>
      </c>
      <c r="J17" s="50" t="inlineStr">
        <is>
          <t>выведено из прогонов</t>
        </is>
      </c>
    </row>
    <row r="18">
      <c r="A18" s="52" t="n"/>
      <c r="B18" s="52" t="inlineStr">
        <is>
          <t>Пилот с сетью</t>
        </is>
      </c>
      <c r="C18" s="52" t="inlineStr">
        <is>
          <t>порог маржи</t>
        </is>
      </c>
      <c r="D18" s="52" t="inlineStr">
        <is>
          <t>пилот на ограниченном числе точек</t>
        </is>
      </c>
      <c r="E18" s="52" t="inlineStr">
        <is>
          <t>максимальная цена промо и логистики</t>
        </is>
      </c>
      <c r="F18" s="52" t="inlineStr">
        <is>
          <t>бюджет, производство, логистика</t>
        </is>
      </c>
      <c r="G18" s="52" t="inlineStr">
        <is>
          <t>пилот без разрушения экономики</t>
        </is>
      </c>
      <c r="H18" s="52" t="inlineStr">
        <is>
          <t>условия ниже минимума</t>
        </is>
      </c>
      <c r="I18" s="52" t="inlineStr">
        <is>
          <t>ZOPA / зона соглашения помогает отличить вход в сеть от дорогой иллюзии входа.</t>
        </is>
      </c>
      <c r="J18" s="52" t="inlineStr">
        <is>
          <t>выведено из прогонов</t>
        </is>
      </c>
    </row>
    <row r="19">
      <c r="A19" s="50" t="n"/>
      <c r="B19" s="50" t="inlineStr">
        <is>
          <t>Внутреннее согласование</t>
        </is>
      </c>
      <c r="C19" s="50" t="inlineStr">
        <is>
          <t>минимум данных</t>
        </is>
      </c>
      <c r="D19" s="50" t="inlineStr">
        <is>
          <t>согласованный пакет</t>
        </is>
      </c>
      <c r="E19" s="50" t="inlineStr">
        <is>
          <t>предельная задержка</t>
        </is>
      </c>
      <c r="F19" s="50" t="inlineStr">
        <is>
          <t>продажи, финансы, производство, логистика</t>
        </is>
      </c>
      <c r="G19" s="50" t="inlineStr">
        <is>
          <t>решение, с которым можно идти наружу</t>
        </is>
      </c>
      <c r="H19" s="50" t="inlineStr">
        <is>
          <t>нет владельца решения</t>
        </is>
      </c>
      <c r="I19" s="50" t="inlineStr">
        <is>
          <t>Без внутренней ZOPA / зоны соглашения внешний раунд начинается с ослабленной позиции.</t>
        </is>
      </c>
      <c r="J19" s="50" t="inlineStr">
        <is>
          <t>выведено из прогонов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.32999992370605" customWidth="1" style="7" min="1" max="1"/>
    <col width="24.44000053405762" customWidth="1" style="7" min="2" max="2"/>
    <col width="42.22000122070312" customWidth="1" style="7" min="3" max="3"/>
    <col width="33.33000183105469" customWidth="1" style="7" min="4" max="4"/>
    <col width="28.88999938964844" customWidth="1" style="7" min="5" max="5"/>
    <col width="33.33000183105469" customWidth="1" style="7" min="6" max="6"/>
    <col width="23.32999992370605" customWidth="1" style="7" min="7" max="7"/>
    <col width="13.32999992370605" customWidth="1" style="7" min="8" max="8"/>
  </cols>
  <sheetData>
    <row r="1" ht="30" customHeight="1" s="7">
      <c r="A1" s="46" t="inlineStr">
        <is>
          <t>18.4 Сводное решение: связь целей, BATNA / лучшей альтернативы и ZOPA / зоны соглашения</t>
        </is>
      </c>
      <c r="B1" s="47" t="n"/>
      <c r="C1" s="47" t="n"/>
      <c r="D1" s="47" t="n"/>
      <c r="E1" s="47" t="n"/>
      <c r="F1" s="47" t="n"/>
      <c r="G1" s="47" t="n"/>
      <c r="H1" s="48" t="n"/>
    </row>
    <row r="2" ht="34" customHeight="1" s="7">
      <c r="A2" s="49" t="inlineStr">
        <is>
          <t>Рабочая форма Переговорной Архитектуры. Заполняется по конкретной ситуации; выводы проверяются перед Решением Руководителя.</t>
        </is>
      </c>
      <c r="B2" s="47" t="n"/>
      <c r="C2" s="47" t="n"/>
      <c r="D2" s="47" t="n"/>
      <c r="E2" s="47" t="n"/>
      <c r="F2" s="47" t="n"/>
      <c r="G2" s="47" t="n"/>
      <c r="H2" s="48" t="n"/>
    </row>
    <row r="3">
      <c r="A3" s="50" t="inlineStr">
        <is>
          <t>Балл BATNA</t>
        </is>
      </c>
      <c r="B3" s="50">
        <f>'BATNA - альтернатива'!C3</f>
        <v/>
      </c>
      <c r="C3" s="50" t="inlineStr">
        <is>
          <t>Зон соглашения</t>
        </is>
      </c>
      <c r="D3" s="50">
        <f>'ZOPA - зона соглашения'!C3</f>
        <v/>
      </c>
      <c r="E3" s="50" t="inlineStr">
        <is>
          <t>Красных линий</t>
        </is>
      </c>
      <c r="F3" s="50">
        <f>'ZOPA - зона соглашения'!F3</f>
        <v/>
      </c>
      <c r="G3" s="50" t="inlineStr">
        <is>
          <t>Решение</t>
        </is>
      </c>
      <c r="H3" s="50" t="inlineStr">
        <is>
          <t>Нужна проверка руководителя</t>
        </is>
      </c>
    </row>
    <row r="4">
      <c r="A4" s="52" t="n"/>
      <c r="B4" s="52" t="n"/>
      <c r="C4" s="52" t="n"/>
      <c r="D4" s="52" t="n"/>
      <c r="E4" s="52" t="n"/>
      <c r="F4" s="52" t="n"/>
      <c r="G4" s="52" t="n"/>
      <c r="H4" s="52" t="n"/>
    </row>
    <row r="5">
      <c r="A5" s="50" t="n"/>
      <c r="B5" s="50" t="n"/>
      <c r="C5" s="50" t="n"/>
      <c r="D5" s="50" t="n"/>
      <c r="E5" s="50" t="n"/>
      <c r="F5" s="50" t="n"/>
      <c r="G5" s="50" t="n"/>
      <c r="H5" s="50" t="n"/>
    </row>
    <row r="6" ht="32" customHeight="1" s="7">
      <c r="A6" s="53" t="inlineStr">
        <is>
          <t>№</t>
        </is>
      </c>
      <c r="B6" s="53" t="inlineStr">
        <is>
          <t>Проверка</t>
        </is>
      </c>
      <c r="C6" s="53" t="inlineStr">
        <is>
          <t>Что должно быть понятно</t>
        </is>
      </c>
      <c r="D6" s="53" t="inlineStr">
        <is>
          <t>Текущий вывод</t>
        </is>
      </c>
      <c r="E6" s="53" t="inlineStr">
        <is>
          <t>Риск</t>
        </is>
      </c>
      <c r="F6" s="53" t="inlineStr">
        <is>
          <t>Следующее действие</t>
        </is>
      </c>
      <c r="G6" s="53" t="inlineStr">
        <is>
          <t>Статус</t>
        </is>
      </c>
      <c r="H6" s="53" t="inlineStr">
        <is>
          <t>Строки книги</t>
        </is>
      </c>
    </row>
    <row r="7">
      <c r="A7" s="50" t="n">
        <v>1</v>
      </c>
      <c r="B7" s="50" t="inlineStr">
        <is>
          <t>Цели</t>
        </is>
      </c>
      <c r="C7" s="50" t="inlineStr">
        <is>
          <t>Есть понятный идеал, минимум и стоп-условие.</t>
        </is>
      </c>
      <c r="D7" s="50" t="n"/>
      <c r="E7" s="50" t="n"/>
      <c r="F7" s="50" t="n"/>
      <c r="G7" s="50" t="inlineStr">
        <is>
          <t>Не начато</t>
        </is>
      </c>
      <c r="H7" s="50" t="inlineStr">
        <is>
          <t>5160-5165</t>
        </is>
      </c>
    </row>
    <row r="8">
      <c r="A8" s="52" t="n">
        <v>2</v>
      </c>
      <c r="B8" s="52" t="inlineStr">
        <is>
          <t>BATNA / лучшая альтернатива</t>
        </is>
      </c>
      <c r="C8" s="52" t="inlineStr">
        <is>
          <t>Есть реальная альтернатива, если соглашение не достигается.</t>
        </is>
      </c>
      <c r="D8" s="52" t="n"/>
      <c r="E8" s="52" t="n"/>
      <c r="F8" s="52" t="n"/>
      <c r="G8" s="52" t="inlineStr">
        <is>
          <t>Не начато</t>
        </is>
      </c>
      <c r="H8" s="52" t="inlineStr">
        <is>
          <t>5122, 5147</t>
        </is>
      </c>
    </row>
    <row r="9">
      <c r="A9" s="50" t="n">
        <v>3</v>
      </c>
      <c r="B9" s="50" t="inlineStr">
        <is>
          <t>ZOPA / зона соглашения</t>
        </is>
      </c>
      <c r="C9" s="50" t="inlineStr">
        <is>
          <t>Есть диапазон условий, где сделка возможна для сторон.</t>
        </is>
      </c>
      <c r="D9" s="50" t="n"/>
      <c r="E9" s="50" t="n"/>
      <c r="F9" s="50" t="n"/>
      <c r="G9" s="50" t="inlineStr">
        <is>
          <t>Не начато</t>
        </is>
      </c>
      <c r="H9" s="50" t="inlineStr">
        <is>
          <t>5123</t>
        </is>
      </c>
    </row>
    <row r="10">
      <c r="A10" s="52" t="n">
        <v>4</v>
      </c>
      <c r="B10" s="52" t="inlineStr">
        <is>
          <t>Защита позиции</t>
        </is>
      </c>
      <c r="C10" s="52" t="inlineStr">
        <is>
          <t>Понятно, как защищать BATNA / лучшую альтернативу.</t>
        </is>
      </c>
      <c r="D10" s="52" t="n"/>
      <c r="E10" s="52" t="n"/>
      <c r="F10" s="52" t="n"/>
      <c r="G10" s="52" t="inlineStr">
        <is>
          <t>Не начато</t>
        </is>
      </c>
      <c r="H10" s="52" t="inlineStr">
        <is>
          <t>5124</t>
        </is>
      </c>
    </row>
    <row r="11">
      <c r="A11" s="50" t="n">
        <v>5</v>
      </c>
      <c r="B11" s="50" t="inlineStr">
        <is>
          <t>Расширение диапазона</t>
        </is>
      </c>
      <c r="C11" s="50" t="inlineStr">
        <is>
          <t>Понятно, как расширять ZOPA / зону соглашения без разрушения интересов.</t>
        </is>
      </c>
      <c r="D11" s="50" t="n"/>
      <c r="E11" s="50" t="n"/>
      <c r="F11" s="50" t="n"/>
      <c r="G11" s="50" t="inlineStr">
        <is>
          <t>Не начато</t>
        </is>
      </c>
      <c r="H11" s="50" t="inlineStr">
        <is>
          <t>5124</t>
        </is>
      </c>
    </row>
    <row r="12">
      <c r="A12" s="52" t="n">
        <v>6</v>
      </c>
      <c r="B12" s="52" t="inlineStr">
        <is>
          <t>Переход к альтернативам</t>
        </is>
      </c>
      <c r="C12" s="52" t="inlineStr">
        <is>
          <t>Команда знает условия остановки переговоров.</t>
        </is>
      </c>
      <c r="D12" s="52" t="n"/>
      <c r="E12" s="52" t="n"/>
      <c r="F12" s="52" t="n"/>
      <c r="G12" s="52" t="inlineStr">
        <is>
          <t>Не начато</t>
        </is>
      </c>
      <c r="H12" s="52" t="inlineStr">
        <is>
          <t>5165</t>
        </is>
      </c>
    </row>
    <row r="13">
      <c r="A13" s="50" t="n">
        <v>7</v>
      </c>
      <c r="B13" s="50" t="inlineStr">
        <is>
          <t>Решение Руководителя</t>
        </is>
      </c>
      <c r="C13" s="50" t="inlineStr">
        <is>
          <t>Итоговое решение перед входом в переговоры.</t>
        </is>
      </c>
      <c r="D13" s="50" t="n"/>
      <c r="E13" s="50" t="n"/>
      <c r="F13" s="50" t="n"/>
      <c r="G13" s="50" t="inlineStr">
        <is>
          <t>Не начато</t>
        </is>
      </c>
      <c r="H13" s="50" t="inlineStr">
        <is>
          <t>5249-5251</t>
        </is>
      </c>
    </row>
    <row r="14">
      <c r="A14" s="52" t="inlineStr">
        <is>
          <t>Внутренняя готовность</t>
        </is>
      </c>
      <c r="B14" s="52" t="str"/>
      <c r="C14" s="52" t="inlineStr">
        <is>
          <t>Есть ли согласованный минимум, альтернатива и зона соглашения внутри компании?</t>
        </is>
      </c>
      <c r="D14" s="52" t="str"/>
      <c r="E14" s="52" t="str"/>
      <c r="F14" s="52" t="str"/>
      <c r="G14" s="52" t="str"/>
      <c r="H14" s="52" t="str"/>
    </row>
    <row r="15">
      <c r="A15" s="50" t="inlineStr">
        <is>
          <t>Критерий плохой сделки</t>
        </is>
      </c>
      <c r="B15" s="50" t="str"/>
      <c r="C15" s="50" t="inlineStr">
        <is>
          <t>Какие условия делают сделку вредной даже при формальном входе в переговоры или сеть?</t>
        </is>
      </c>
      <c r="D15" s="50" t="str"/>
      <c r="E15" s="50" t="str"/>
      <c r="F15" s="50" t="str"/>
      <c r="G15" s="50" t="str"/>
      <c r="H15" s="50" t="str"/>
    </row>
    <row r="16">
      <c r="A16" s="52" t="inlineStr">
        <is>
          <t>Разрешение на внешний раунд</t>
        </is>
      </c>
      <c r="B16" s="52" t="str"/>
      <c r="C16" s="52" t="inlineStr">
        <is>
          <t>Идти наружу можно только если внутренняя BATNA / лучшая альтернатива и ZOPA / зона соглашения проверены.</t>
        </is>
      </c>
      <c r="D16" s="52" t="str"/>
      <c r="E16" s="52" t="str"/>
      <c r="F16" s="52" t="str"/>
      <c r="G16" s="52" t="str"/>
      <c r="H16" s="52" t="str"/>
    </row>
  </sheetData>
  <mergeCells count="2">
    <mergeCell ref="A2:H2"/>
    <mergeCell ref="A1:H1"/>
  </mergeCells>
  <dataValidations count="1">
    <dataValidation sqref="G7:G13" showDropDown="0" showInputMessage="0" showErrorMessage="0" allowBlank="0" type="list">
      <formula1>'Справочники'!$A$4:$A$8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5.55999946594238" customWidth="1" style="7" min="1" max="1"/>
    <col width="13" customWidth="1" style="7" min="2" max="2"/>
    <col width="14.4399995803833" customWidth="1" style="7" min="3" max="3"/>
    <col width="13" customWidth="1" style="7" min="4" max="4"/>
    <col width="12.22000026702881" customWidth="1" style="7" min="5" max="5"/>
    <col width="13" customWidth="1" style="7" min="6" max="6"/>
    <col width="31.11000061035156" customWidth="1" style="7" min="7" max="7"/>
    <col width="13" customWidth="1" style="7" min="8" max="8"/>
  </cols>
  <sheetData>
    <row r="1" ht="30" customHeight="1" s="7">
      <c r="A1" s="46" t="inlineStr">
        <is>
          <t>Справочники для карты целей, BATNA / лучшей альтернативы и ZOPA / зоны соглашения</t>
        </is>
      </c>
      <c r="B1" s="47" t="n"/>
      <c r="C1" s="47" t="n"/>
      <c r="D1" s="47" t="n"/>
      <c r="E1" s="47" t="n"/>
      <c r="F1" s="47" t="n"/>
      <c r="G1" s="47" t="n"/>
      <c r="H1" s="48" t="n"/>
    </row>
    <row r="2" ht="34" customHeight="1" s="7">
      <c r="A2" s="49" t="inlineStr">
        <is>
          <t>Рабочая форма Переговорной Архитектуры. Заполняется по конкретной ситуации; выводы проверяются перед Решением Руководителя.</t>
        </is>
      </c>
      <c r="B2" s="47" t="n"/>
      <c r="C2" s="47" t="n"/>
      <c r="D2" s="47" t="n"/>
      <c r="E2" s="47" t="n"/>
      <c r="F2" s="47" t="n"/>
      <c r="G2" s="47" t="n"/>
      <c r="H2" s="48" t="n"/>
    </row>
    <row r="3">
      <c r="A3" s="50" t="inlineStr">
        <is>
          <t>Статус</t>
        </is>
      </c>
      <c r="B3" s="50" t="n"/>
      <c r="C3" s="50" t="inlineStr">
        <is>
          <t>Приоритет</t>
        </is>
      </c>
      <c r="D3" s="50" t="n"/>
      <c r="E3" s="50" t="inlineStr">
        <is>
          <t>Оценка 1-5</t>
        </is>
      </c>
      <c r="F3" s="50" t="n"/>
      <c r="G3" s="50" t="inlineStr">
        <is>
          <t>Решение</t>
        </is>
      </c>
      <c r="H3" s="50" t="n"/>
    </row>
    <row r="4">
      <c r="A4" s="52" t="inlineStr">
        <is>
          <t>Не начато</t>
        </is>
      </c>
      <c r="B4" s="52" t="n"/>
      <c r="C4" s="52" t="inlineStr">
        <is>
          <t>Критично</t>
        </is>
      </c>
      <c r="D4" s="52" t="n"/>
      <c r="E4" s="52" t="n">
        <v>1</v>
      </c>
      <c r="F4" s="52" t="n"/>
      <c r="G4" s="52" t="inlineStr">
        <is>
          <t>Идти в переговоры</t>
        </is>
      </c>
      <c r="H4" s="52" t="n"/>
    </row>
    <row r="5">
      <c r="A5" s="50" t="inlineStr">
        <is>
          <t>В работе</t>
        </is>
      </c>
      <c r="B5" s="50" t="n"/>
      <c r="C5" s="50" t="inlineStr">
        <is>
          <t>Важно</t>
        </is>
      </c>
      <c r="D5" s="50" t="n"/>
      <c r="E5" s="50" t="n">
        <v>2</v>
      </c>
      <c r="F5" s="50" t="n"/>
      <c r="G5" s="50" t="inlineStr">
        <is>
          <t>Усилить BATNA / лучшую альтернативу</t>
        </is>
      </c>
      <c r="H5" s="50" t="n"/>
    </row>
    <row r="6">
      <c r="A6" s="52" t="inlineStr">
        <is>
          <t>Готово</t>
        </is>
      </c>
      <c r="B6" s="52" t="n"/>
      <c r="C6" s="52" t="inlineStr">
        <is>
          <t>Комфортно</t>
        </is>
      </c>
      <c r="D6" s="52" t="n"/>
      <c r="E6" s="52" t="n">
        <v>3</v>
      </c>
      <c r="F6" s="52" t="n"/>
      <c r="G6" s="52" t="inlineStr">
        <is>
          <t>Уточнить ZOPA / зону соглашения</t>
        </is>
      </c>
      <c r="H6" s="52" t="n"/>
    </row>
    <row r="7">
      <c r="A7" s="50" t="inlineStr">
        <is>
          <t>Нужна проверка руководителя</t>
        </is>
      </c>
      <c r="B7" s="50" t="n"/>
      <c r="C7" s="50" t="n"/>
      <c r="D7" s="50" t="n"/>
      <c r="E7" s="50" t="n">
        <v>4</v>
      </c>
      <c r="F7" s="50" t="n"/>
      <c r="G7" s="50" t="inlineStr">
        <is>
          <t>Сменить сценарий</t>
        </is>
      </c>
      <c r="H7" s="50" t="n"/>
    </row>
    <row r="8">
      <c r="A8" s="52" t="inlineStr">
        <is>
          <t>Не применимо</t>
        </is>
      </c>
      <c r="B8" s="52" t="n"/>
      <c r="C8" s="52" t="n"/>
      <c r="D8" s="52" t="n"/>
      <c r="E8" s="52" t="n">
        <v>5</v>
      </c>
      <c r="F8" s="52" t="n"/>
      <c r="G8" s="52" t="inlineStr">
        <is>
          <t>Остановить переговоры</t>
        </is>
      </c>
      <c r="H8" s="52" t="n"/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8.88999938964844" customWidth="1" style="7" min="1" max="1"/>
    <col width="58" customWidth="1" style="7" min="2" max="2"/>
    <col width="14" customWidth="1" style="7" min="3" max="3"/>
    <col width="14" customWidth="1" style="7" min="4" max="4"/>
    <col width="14" customWidth="1" style="7" min="5" max="5"/>
    <col width="14" customWidth="1" style="7" min="6" max="6"/>
  </cols>
  <sheetData>
    <row r="1" ht="30" customHeight="1" s="7">
      <c r="A1" s="46" t="inlineStr">
        <is>
          <t>Инструкция по использованию</t>
        </is>
      </c>
      <c r="B1" s="47" t="n"/>
      <c r="C1" s="47" t="n"/>
      <c r="D1" s="47" t="n"/>
      <c r="E1" s="47" t="n"/>
      <c r="F1" s="48" t="n"/>
    </row>
    <row r="2" ht="34" customHeight="1" s="7">
      <c r="A2" s="49" t="inlineStr">
        <is>
          <t>Рабочая форма Переговорной Архитектуры. Заполняется по конкретной ситуации; выводы проверяются перед Решением Руководителя.</t>
        </is>
      </c>
      <c r="B2" s="47" t="n"/>
      <c r="C2" s="47" t="n"/>
      <c r="D2" s="47" t="n"/>
      <c r="E2" s="47" t="n"/>
      <c r="F2" s="48" t="n"/>
    </row>
    <row r="3">
      <c r="A3" s="50" t="inlineStr">
        <is>
          <t>Что это</t>
        </is>
      </c>
      <c r="B3" s="50" t="inlineStr">
        <is>
          <t>Рабочая форма, где цели, BATNA / лучшая альтернатива и ZOPA / зона соглашения разведены как разные технологии.</t>
        </is>
      </c>
      <c r="C3" s="50" t="n"/>
      <c r="D3" s="50" t="n"/>
      <c r="E3" s="50" t="n"/>
      <c r="F3" s="50" t="n"/>
    </row>
    <row r="4">
      <c r="A4" s="52" t="inlineStr">
        <is>
          <t>Основание</t>
        </is>
      </c>
      <c r="B4" s="52" t="inlineStr">
        <is>
          <t>Строки книги: 377, 380, 5121-5124, 5160-5165, 5353, 5770, 6043-6045.</t>
        </is>
      </c>
      <c r="C4" s="52" t="n"/>
      <c r="D4" s="52" t="n"/>
      <c r="E4" s="52" t="n"/>
      <c r="F4" s="52" t="n"/>
    </row>
    <row r="5">
      <c r="A5" s="50" t="inlineStr">
        <is>
          <t>Карта целей</t>
        </is>
      </c>
      <c r="B5" s="50" t="inlineStr">
        <is>
          <t>Фиксирует цель, минимум, идеал, показатели, механизм остановки и решение руководителя.</t>
        </is>
      </c>
      <c r="C5" s="50" t="n"/>
      <c r="D5" s="50" t="n"/>
      <c r="E5" s="50" t="n"/>
      <c r="F5" s="50" t="n"/>
    </row>
    <row r="6">
      <c r="A6" s="52" t="inlineStr">
        <is>
          <t>BATNA / лучшая альтернатива</t>
        </is>
      </c>
      <c r="B6" s="52" t="inlineStr">
        <is>
          <t>Отвечает на вопрос: что мы делаем, если соглашение не достигается.</t>
        </is>
      </c>
      <c r="C6" s="52" t="n"/>
      <c r="D6" s="52" t="n"/>
      <c r="E6" s="52" t="n"/>
      <c r="F6" s="52" t="n"/>
    </row>
    <row r="7">
      <c r="A7" s="50" t="inlineStr">
        <is>
          <t>ZOPA / зона соглашения</t>
        </is>
      </c>
      <c r="B7" s="50" t="inlineStr">
        <is>
          <t>Отвечает на вопрос: в каком диапазоне условий сделка возможна для сторон.</t>
        </is>
      </c>
      <c r="C7" s="50" t="n"/>
      <c r="D7" s="50" t="n"/>
      <c r="E7" s="50" t="n"/>
      <c r="F7" s="50" t="n"/>
    </row>
    <row r="8">
      <c r="A8" s="52" t="inlineStr">
        <is>
          <t>Сводное решение</t>
        </is>
      </c>
      <c r="B8" s="52" t="inlineStr">
        <is>
          <t>Связывает цели, силу альтернативы, диапазон соглашения и условия остановки.</t>
        </is>
      </c>
      <c r="C8" s="52" t="n"/>
      <c r="D8" s="52" t="n"/>
      <c r="E8" s="52" t="n"/>
      <c r="F8" s="52" t="n"/>
    </row>
    <row r="9">
      <c r="A9" s="50" t="inlineStr">
        <is>
          <t>Стоп-правило</t>
        </is>
      </c>
      <c r="B9" s="50" t="inlineStr">
        <is>
          <t>Не смешивать сильную альтернативу с зоной соглашения: первая описывает выход, вторая описывает диапазон сделки.</t>
        </is>
      </c>
      <c r="C9" s="50" t="n"/>
      <c r="D9" s="50" t="n"/>
      <c r="E9" s="50" t="n"/>
      <c r="F9" s="50" t="n"/>
    </row>
    <row r="10">
      <c r="A10" s="52" t="inlineStr">
        <is>
          <t>Готовность</t>
        </is>
      </c>
      <c r="B10" s="52" t="inlineStr">
        <is>
          <t>Форма готова, когда заполнены красные линии, альтернативы, диапазоны и условия перехода к альтернативам.</t>
        </is>
      </c>
      <c r="C10" s="52" t="n"/>
      <c r="D10" s="52" t="n"/>
      <c r="E10" s="52" t="n"/>
      <c r="F10" s="52" t="n"/>
    </row>
    <row r="11">
      <c r="A11" s="50" t="inlineStr">
        <is>
          <t>Ограничение</t>
        </is>
      </c>
      <c r="B11" s="50" t="inlineStr">
        <is>
          <t>Форма не является оффером, коммерческим обещанием или сроком внедрения. Это рабочий инструмент из первоисточника.</t>
        </is>
      </c>
      <c r="C11" s="50" t="n"/>
      <c r="D11" s="50" t="n"/>
      <c r="E11" s="50" t="n"/>
      <c r="F11" s="50" t="n"/>
    </row>
    <row r="12" ht="50" customHeight="1" s="7">
      <c r="A12" s="52" t="inlineStr">
        <is>
          <t>Важно</t>
        </is>
      </c>
      <c r="B12" s="52" t="inlineStr">
        <is>
          <t>BATNA / лучшая альтернатива и ZOPA / зона соглашения остаются разными технологиями: первая отвечает на вопрос выхода, вторая — на вопрос допустимого диапазона соглашения.</t>
        </is>
      </c>
      <c r="C12" s="52" t="n"/>
      <c r="D12" s="52" t="n"/>
      <c r="E12" s="52" t="n"/>
      <c r="F12" s="52" t="n"/>
    </row>
    <row r="13" ht="50" customHeight="1" s="7">
      <c r="A13" s="50" t="inlineStr">
        <is>
          <t>Версия</t>
        </is>
      </c>
      <c r="B13" s="50" t="inlineStr">
        <is>
          <t>v1.2 после двух прогонов технологии: внешний контур `Сеть / канал` и внутренний контур согласования.</t>
        </is>
      </c>
      <c r="C13" s="50" t="n"/>
      <c r="D13" s="50" t="n"/>
      <c r="E13" s="50" t="n"/>
      <c r="F13" s="50" t="n"/>
    </row>
    <row r="14" ht="50" customHeight="1" s="7">
      <c r="A14" s="52" t="inlineStr">
        <is>
          <t>Внутренняя BATNA / лучшая альтернатива</t>
        </is>
      </c>
      <c r="B14" s="52" t="inlineStr">
        <is>
          <t>Запасной управленческий ход внутри компании: пауза, пересчет экономики, сокращение пакета, иной канал, перенос запуска или отказ от плохого решения.</t>
        </is>
      </c>
      <c r="C14" s="52" t="n"/>
      <c r="D14" s="52" t="n"/>
      <c r="E14" s="52" t="n"/>
      <c r="F14" s="52" t="n"/>
    </row>
    <row r="15" ht="50" customHeight="1" s="7">
      <c r="A15" s="50" t="inlineStr">
        <is>
          <t>Внутренняя ZOPA / зона соглашения</t>
        </is>
      </c>
      <c r="B15" s="50" t="inlineStr">
        <is>
          <t>Диапазон, в котором подразделения могут согласовать цену, срок, ресурс, риск и ответственность до внешнего раунда.</t>
        </is>
      </c>
      <c r="C15" s="50" t="n"/>
      <c r="D15" s="50" t="n"/>
      <c r="E15" s="50" t="n"/>
      <c r="F15" s="50" t="n"/>
    </row>
    <row r="16" ht="50" customHeight="1" s="7">
      <c r="A16" s="52" t="inlineStr">
        <is>
          <t>Связь с внешним контуром</t>
        </is>
      </c>
      <c r="B16" s="52" t="inlineStr">
        <is>
          <t>Если внутренняя ZOPA / зона соглашения не согласована, внешний переговорщик входит в раунд без устойчивых границ уступок.</t>
        </is>
      </c>
      <c r="C16" s="52" t="n"/>
      <c r="D16" s="52" t="n"/>
      <c r="E16" s="52" t="n"/>
      <c r="F16" s="52" t="n"/>
    </row>
    <row r="17" ht="50" customHeight="1" s="7">
      <c r="A17" s="50" t="inlineStr">
        <is>
          <t>Сеть / канал</t>
        </is>
      </c>
      <c r="B17" s="50" t="inlineStr">
        <is>
          <t>Для входа в сеть проверяются не только коммерческие условия, но и полная цена пилота: промо, логистика, возвраты, сезонность, остатки, расширение.</t>
        </is>
      </c>
      <c r="C17" s="50" t="n"/>
      <c r="D17" s="50" t="n"/>
      <c r="E17" s="50" t="n"/>
      <c r="F17" s="50" t="n"/>
    </row>
    <row r="18" ht="50" customHeight="1" s="7">
      <c r="A18" s="52" t="inlineStr">
        <is>
          <t>Плохая сделка</t>
        </is>
      </c>
      <c r="B18" s="52" t="inlineStr">
        <is>
          <t>Формальное согласие не считается успехом, если итог разрушает маржу, блокирует ресурс, создает зависимость или переносит неуправляемый риск внутрь компании.</t>
        </is>
      </c>
      <c r="C18" s="52" t="n"/>
      <c r="D18" s="52" t="n"/>
      <c r="E18" s="52" t="n"/>
      <c r="F18" s="52" t="n"/>
    </row>
    <row r="19" ht="50" customHeight="1" s="7">
      <c r="A19" s="50" t="inlineStr">
        <is>
          <t>Стоп-линия</t>
        </is>
      </c>
      <c r="B19" s="50" t="inlineStr">
        <is>
          <t>Форма 18 не объединяет BATNA / лучшую альтернативу и ZOPA / зону соглашения в одну сущность и не заменяет финансовый, юридический или производственный расчет.</t>
        </is>
      </c>
      <c r="C19" s="50" t="n"/>
      <c r="D19" s="50" t="n"/>
      <c r="E19" s="50" t="n"/>
      <c r="F19" s="50" t="n"/>
    </row>
    <row r="20" ht="50" customHeight="1" s="7">
      <c r="A20" s="52" t="inlineStr">
        <is>
          <t>Решение</t>
        </is>
      </c>
      <c r="B20" s="52" t="inlineStr">
        <is>
          <t>Перед следующим раундом фиксируется решение Руководителя: идти дальше, уточнить данные, изменить пакет, усилить альтернативу, взять паузу или выйти.</t>
        </is>
      </c>
      <c r="C20" s="52" t="n"/>
      <c r="D20" s="52" t="n"/>
      <c r="E20" s="52" t="n"/>
      <c r="F20" s="52" t="n"/>
    </row>
    <row r="21" ht="50" customHeight="1" s="7">
      <c r="A21" s="50" t="inlineStr">
        <is>
          <t>Минимальный маршрут</t>
        </is>
      </c>
      <c r="B21" s="50" t="inlineStr">
        <is>
          <t>Для внутреннего конфликта достаточно пяти ответов: цель, минимум, BATNA / лучшая альтернатива, ZOPA / зона соглашения, стоп-условие.</t>
        </is>
      </c>
      <c r="C21" s="50" t="n"/>
      <c r="D21" s="50" t="n"/>
      <c r="E21" s="50" t="n"/>
      <c r="F21" s="50" t="n"/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2026-07-12T13:09:10Z</dcterms:created>
  <dcterms:modified xmlns:dcterms="http://purl.org/dc/terms/" xmlns:xsi="http://www.w3.org/2001/XMLSchema-instance" xsi:type="dcterms:W3CDTF">2026-07-12T13:09:10Z</dcterms:modified>
</cp:coreProperties>
</file>