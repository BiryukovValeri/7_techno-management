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Демо-данные" sheetId="1" state="visible" r:id="rId1"/>
    <sheet xmlns:r="http://schemas.openxmlformats.org/officeDocument/2006/relationships" name="Пульт" sheetId="2" state="visible" r:id="rId2"/>
    <sheet xmlns:r="http://schemas.openxmlformats.org/officeDocument/2006/relationships" name="Карта данных" sheetId="3" state="visible" r:id="rId3"/>
    <sheet xmlns:r="http://schemas.openxmlformats.org/officeDocument/2006/relationships" name="SKU x канал" sheetId="4" state="visible" r:id="rId4"/>
    <sheet xmlns:r="http://schemas.openxmlformats.org/officeDocument/2006/relationships" name="12 метрик" sheetId="5" state="visible" r:id="rId5"/>
    <sheet xmlns:r="http://schemas.openxmlformats.org/officeDocument/2006/relationships" name="Карта потерь" sheetId="6" state="visible" r:id="rId6"/>
    <sheet xmlns:r="http://schemas.openxmlformats.org/officeDocument/2006/relationships" name="Гипотезы" sheetId="7" state="visible" r:id="rId7"/>
    <sheet xmlns:r="http://schemas.openxmlformats.org/officeDocument/2006/relationships" name="Справочники" sheetId="8" state="visible" r:id="rId8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10">
    <font>
      <name val="Carlito"/>
      <sz val="11"/>
    </font>
    <font>
      <name val="Carlito"/>
      <b val="1"/>
      <color rgb="FF1F2933"/>
      <sz val="11"/>
    </font>
    <font>
      <name val="Carlito"/>
      <b val="1"/>
      <color rgb="FF1F2933"/>
      <sz val="16"/>
    </font>
    <font>
      <name val="Arial"/>
      <b val="1"/>
      <color rgb="FF1F2933"/>
      <sz val="10"/>
    </font>
    <font>
      <name val="Arial"/>
      <color rgb="FF1F2933"/>
      <sz val="10"/>
    </font>
    <font>
      <name val="Arial"/>
      <b val="1"/>
      <color rgb="FF1F2933"/>
      <sz val="16"/>
    </font>
    <font>
      <name val="Arial"/>
      <color rgb="00222222"/>
      <sz val="10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7F3EA"/>
      </patternFill>
    </fill>
  </fills>
  <borders count="24">
    <border/>
    <border>
      <left style="thin">
        <color rgb="FFC9BFA8"/>
      </left>
      <right style="thin">
        <color rgb="FFC9BFA8"/>
      </right>
      <top style="thin">
        <color rgb="FFC9BFA8"/>
      </top>
      <bottom style="thin">
        <color rgb="FFC9BFA8"/>
      </bottom>
    </border>
    <border>
      <left style="thin">
        <color rgb="FFE2D8C4"/>
      </left>
      <right style="thin">
        <color rgb="FFE2D8C4"/>
      </right>
      <top style="thin">
        <color rgb="FFE2D8C4"/>
      </top>
      <bottom style="thin">
        <color rgb="FFE2D8C4"/>
      </bottom>
    </border>
    <border>
      <left style="medium">
        <color rgb="FF1F2933"/>
      </left>
      <top style="medium">
        <color rgb="FF1F2933"/>
      </top>
      <bottom style="medium">
        <color rgb="FF1F2933"/>
      </bottom>
    </border>
    <border>
      <top style="medium">
        <color rgb="FF1F2933"/>
      </top>
      <bottom style="medium">
        <color rgb="FF1F2933"/>
      </bottom>
    </border>
    <border>
      <right style="medium">
        <color rgb="FF1F2933"/>
      </right>
      <top style="medium">
        <color rgb="FF1F2933"/>
      </top>
      <bottom style="medium">
        <color rgb="FF1F2933"/>
      </bottom>
    </border>
    <border>
      <top style="thin">
        <color rgb="FFC9BFA8"/>
      </top>
    </border>
    <border>
      <right style="thin">
        <color rgb="FFC9BFA8"/>
      </right>
      <top style="thin">
        <color rgb="FFC9BFA8"/>
      </top>
    </border>
    <border>
      <top style="thin">
        <color rgb="FFC9BFA8"/>
      </top>
      <bottom style="thin">
        <color rgb="FFC9BFA8"/>
      </bottom>
    </border>
    <border>
      <right style="thin">
        <color rgb="FFC9BFA8"/>
      </right>
      <top style="thin">
        <color rgb="FFC9BFA8"/>
      </top>
      <bottom style="thin">
        <color rgb="FFC9BFA8"/>
      </bottom>
    </border>
    <border>
      <top style="thin">
        <color rgb="FFE2D8C4"/>
      </top>
    </border>
    <border>
      <right style="thin">
        <color rgb="FFE2D8C4"/>
      </right>
      <top style="thin">
        <color rgb="FFE2D8C4"/>
      </top>
    </border>
    <border>
      <top style="thin">
        <color rgb="FFE2D8C4"/>
      </top>
      <bottom style="thin">
        <color rgb="FFE2D8C4"/>
      </bottom>
    </border>
    <border>
      <right style="thin">
        <color rgb="FFE2D8C4"/>
      </right>
      <top style="thin">
        <color rgb="FFE2D8C4"/>
      </top>
      <bottom style="thin">
        <color rgb="FFE2D8C4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top style="thin">
        <color rgb="00D9E2EC"/>
      </top>
    </border>
    <border>
      <right style="thin">
        <color rgb="00D9E2EC"/>
      </right>
      <top style="thin">
        <color rgb="00D9E2EC"/>
      </top>
    </border>
    <border>
      <top style="thin">
        <color rgb="00D9E2EC"/>
      </top>
      <bottom style="thin">
        <color rgb="00D9E2EC"/>
      </bottom>
    </border>
    <border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</border>
    <border>
      <right style="thin">
        <color rgb="00D9E2EC"/>
      </right>
    </border>
    <border>
      <left style="thin">
        <color rgb="00D9E2EC"/>
      </left>
      <bottom style="thin">
        <color rgb="00D9E2EC"/>
      </bottom>
    </border>
    <border>
      <bottom style="thin">
        <color rgb="00D9E2EC"/>
      </bottom>
    </border>
    <border>
      <right style="thin">
        <color rgb="00D9E2EC"/>
      </right>
      <bottom style="thin">
        <color rgb="00D9E2EC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164" fontId="0" fillId="0" borderId="2" applyAlignment="1" pivotButton="0" quotePrefix="0" xfId="0">
      <alignment wrapText="1"/>
    </xf>
    <xf numFmtId="0" fontId="2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3" fontId="0" fillId="0" borderId="2" applyAlignment="1" pivotButton="0" quotePrefix="0" xfId="0">
      <alignment wrapText="1"/>
    </xf>
    <xf numFmtId="165" fontId="0" fillId="0" borderId="2" applyAlignment="1" pivotButton="0" quotePrefix="0" xfId="0">
      <alignment wrapText="1"/>
    </xf>
    <xf numFmtId="2" fontId="0" fillId="0" borderId="2" applyAlignment="1" pivotButton="0" quotePrefix="0" xfId="0">
      <alignment wrapText="1"/>
    </xf>
    <xf numFmtId="10" fontId="0" fillId="0" borderId="2" applyAlignment="1" pivotButton="0" quotePrefix="0" xfId="0">
      <alignment wrapText="1"/>
    </xf>
    <xf numFmtId="166" fontId="0" fillId="0" borderId="2" applyAlignment="1" pivotButton="0" quotePrefix="0" xfId="0">
      <alignment wrapText="1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64" fontId="4" fillId="0" borderId="2" applyAlignment="1" pivotButton="0" quotePrefix="0" xfId="0">
      <alignment wrapText="1"/>
    </xf>
    <xf numFmtId="3" fontId="4" fillId="0" borderId="2" applyAlignment="1" pivotButton="0" quotePrefix="0" xfId="0">
      <alignment wrapText="1"/>
    </xf>
    <xf numFmtId="165" fontId="4" fillId="0" borderId="2" applyAlignment="1" pivotButton="0" quotePrefix="0" xfId="0">
      <alignment wrapText="1"/>
    </xf>
    <xf numFmtId="2" fontId="4" fillId="0" borderId="2" applyAlignment="1" pivotButton="0" quotePrefix="0" xfId="0">
      <alignment wrapText="1"/>
    </xf>
    <xf numFmtId="10" fontId="4" fillId="0" borderId="2" applyAlignment="1" pivotButton="0" quotePrefix="0" xfId="0">
      <alignment wrapText="1"/>
    </xf>
    <xf numFmtId="166" fontId="4" fillId="0" borderId="2" applyAlignment="1" pivotButton="0" quotePrefix="0" xfId="0">
      <alignment wrapText="1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7" fillId="2" borderId="14" applyAlignment="1" pivotButton="0" quotePrefix="0" xfId="0">
      <alignment vertical="center" wrapText="1"/>
    </xf>
    <xf numFmtId="0" fontId="7" fillId="2" borderId="4" applyAlignment="1" pivotButton="0" quotePrefix="0" xfId="0">
      <alignment vertical="center" wrapText="1"/>
    </xf>
    <xf numFmtId="0" fontId="7" fillId="2" borderId="5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8" fillId="3" borderId="14" applyAlignment="1" pivotButton="0" quotePrefix="0" xfId="0">
      <alignment vertical="center" wrapText="1"/>
    </xf>
    <xf numFmtId="0" fontId="6" fillId="0" borderId="14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164" fontId="6" fillId="0" borderId="14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13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3" fontId="6" fillId="0" borderId="14" applyAlignment="1" pivotButton="0" quotePrefix="0" xfId="0">
      <alignment vertical="center" wrapText="1"/>
    </xf>
    <xf numFmtId="3" fontId="6" fillId="0" borderId="2" applyAlignment="1" pivotButton="0" quotePrefix="0" xfId="0">
      <alignment vertical="center" wrapText="1"/>
    </xf>
    <xf numFmtId="3" fontId="4" fillId="0" borderId="2" applyAlignment="1" pivotButton="0" quotePrefix="0" xfId="0">
      <alignment wrapText="1"/>
    </xf>
    <xf numFmtId="164" fontId="4" fillId="0" borderId="2" applyAlignment="1" pivotButton="0" quotePrefix="0" xfId="0">
      <alignment wrapText="1"/>
    </xf>
    <xf numFmtId="164" fontId="6" fillId="0" borderId="2" applyAlignment="1" pivotButton="0" quotePrefix="0" xfId="0">
      <alignment vertical="center" wrapText="1"/>
    </xf>
    <xf numFmtId="165" fontId="6" fillId="0" borderId="14" applyAlignment="1" pivotButton="0" quotePrefix="0" xfId="0">
      <alignment vertical="center" wrapText="1"/>
    </xf>
    <xf numFmtId="165" fontId="6" fillId="0" borderId="2" applyAlignment="1" pivotButton="0" quotePrefix="0" xfId="0">
      <alignment vertical="center" wrapText="1"/>
    </xf>
    <xf numFmtId="2" fontId="6" fillId="0" borderId="14" applyAlignment="1" pivotButton="0" quotePrefix="0" xfId="0">
      <alignment vertical="center" wrapText="1"/>
    </xf>
    <xf numFmtId="2" fontId="6" fillId="0" borderId="2" applyAlignment="1" pivotButton="0" quotePrefix="0" xfId="0">
      <alignment vertical="center" wrapText="1"/>
    </xf>
    <xf numFmtId="10" fontId="6" fillId="0" borderId="14" applyAlignment="1" pivotButton="0" quotePrefix="0" xfId="0">
      <alignment vertical="center" wrapText="1"/>
    </xf>
    <xf numFmtId="10" fontId="6" fillId="0" borderId="2" applyAlignment="1" pivotButton="0" quotePrefix="0" xfId="0">
      <alignment vertical="center" wrapText="1"/>
    </xf>
    <xf numFmtId="166" fontId="6" fillId="0" borderId="2" applyAlignment="1" pivotButton="0" quotePrefix="0" xfId="0">
      <alignment vertical="center" wrapText="1"/>
    </xf>
    <xf numFmtId="166" fontId="4" fillId="0" borderId="2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  <xf numFmtId="164" fontId="8" fillId="3" borderId="14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6" fillId="0" borderId="18" applyAlignment="1" pivotButton="0" quotePrefix="0" xfId="0">
      <alignment vertical="center" wrapText="1"/>
    </xf>
    <xf numFmtId="0" fontId="9" fillId="2" borderId="14" applyAlignment="1" pivotButton="0" quotePrefix="0" xfId="0">
      <alignment horizontal="left" vertical="center"/>
    </xf>
    <xf numFmtId="0" fontId="0" fillId="0" borderId="14" pivotButton="0" quotePrefix="0" xfId="0"/>
    <xf numFmtId="0" fontId="8" fillId="4" borderId="14" applyAlignment="1" pivotButton="0" quotePrefix="0" xfId="0">
      <alignment horizontal="left" vertical="center" wrapText="1"/>
    </xf>
    <xf numFmtId="0" fontId="6" fillId="3" borderId="14" applyAlignment="1" pivotButton="0" quotePrefix="0" xfId="0">
      <alignment vertical="center" wrapText="1"/>
    </xf>
    <xf numFmtId="0" fontId="8" fillId="3" borderId="14" applyAlignment="1" pivotButton="0" quotePrefix="0" xfId="0">
      <alignment horizontal="center" vertical="center" wrapText="1"/>
    </xf>
    <xf numFmtId="3" fontId="6" fillId="0" borderId="14" applyAlignment="1" pivotButton="0" quotePrefix="0" xfId="0">
      <alignment horizontal="right" vertical="center"/>
    </xf>
    <xf numFmtId="164" fontId="6" fillId="0" borderId="14" applyAlignment="1" pivotButton="0" quotePrefix="0" xfId="0">
      <alignment horizontal="right" vertical="center"/>
    </xf>
    <xf numFmtId="0" fontId="6" fillId="0" borderId="14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/>
  </cellStyles>
  <dxfs count="24">
    <dxf>
      <font>
        <b val="1"/>
        <color rgb="FF990000"/>
      </font>
    </dxf>
    <dxf>
      <font>
        <b val="1"/>
        <color rgb="FF7F6000"/>
      </font>
    </dxf>
    <dxf>
      <font>
        <b val="1"/>
        <color rgb="FF274E13"/>
      </font>
    </dxf>
    <dxf>
      <font>
        <b val="1"/>
        <color rgb="FF990000"/>
      </font>
    </dxf>
    <dxf>
      <font>
        <b val="1"/>
        <color rgb="FF7F6000"/>
      </font>
    </dxf>
    <dxf>
      <font>
        <b val="1"/>
        <color rgb="FF274E13"/>
      </font>
    </dxf>
    <dxf>
      <font>
        <b val="1"/>
        <color rgb="FF990000"/>
      </font>
    </dxf>
    <dxf>
      <font>
        <b val="1"/>
        <color rgb="FF7F6000"/>
      </font>
    </dxf>
    <dxf>
      <font>
        <b val="1"/>
        <color rgb="FF274E13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7F6000"/>
      </font>
    </dxf>
    <dxf>
      <font>
        <b val="1"/>
        <color rgb="FF274E13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SKU x канал по зонам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Количество</v>
          </tx>
          <spPr>
            <a:ln xmlns:a="http://schemas.openxmlformats.org/drawingml/2006/main">
              <a:prstDash val="solid"/>
            </a:ln>
          </spPr>
          <cat>
            <strRef>
              <f>'Пульт'!$D$4:$D$6</f>
              <strCache>
                <ptCount val="0"/>
              </strCache>
            </strRef>
          </cat>
          <val>
            <numRef>
              <f>'Пульт'!$E$4:$E$6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2D8C4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409575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6AA84F"/>
    <outlinePr summaryBelow="1" summaryRight="1"/>
    <pageSetUpPr fitToPage="1"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18" customWidth="1" style="1" min="2" max="2"/>
    <col width="14" customWidth="1" style="1" min="3" max="3"/>
    <col width="16" customWidth="1" style="1" min="4" max="4"/>
    <col width="14" customWidth="1" style="1" min="5" max="5"/>
    <col width="13" customWidth="1" style="1" min="6" max="6"/>
    <col width="14" customWidth="1" style="1" min="7" max="7"/>
    <col width="20" customWidth="1" style="1" min="8" max="8"/>
    <col width="18" customWidth="1" style="1" min="9" max="9"/>
  </cols>
  <sheetData>
    <row r="1" ht="26" customHeight="1" s="1">
      <c r="A1" s="68" t="inlineStr">
        <is>
          <t>Демо-данные — Диагностика — Контур Маржи v2.0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</row>
    <row r="2" ht="32" customHeight="1" s="1">
      <c r="A2" s="42" t="inlineStr">
        <is>
          <t>Статус</t>
        </is>
      </c>
      <c r="B2" s="70" t="inlineStr">
        <is>
          <t>Модельные данные. Не являются данными реального клиента.</t>
        </is>
      </c>
      <c r="C2" s="69" t="n"/>
      <c r="D2" s="69" t="n"/>
      <c r="E2" s="69" t="n"/>
      <c r="F2" s="69" t="n"/>
      <c r="G2" s="69" t="n"/>
      <c r="H2" s="69" t="n"/>
      <c r="I2" s="69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</row>
    <row r="4" ht="24" customHeight="1" s="1">
      <c r="A4" s="72" t="inlineStr">
        <is>
          <t>SKU</t>
        </is>
      </c>
      <c r="B4" s="72" t="inlineStr">
        <is>
          <t>Канал</t>
        </is>
      </c>
      <c r="C4" s="72" t="inlineStr">
        <is>
          <t>Выручка</t>
        </is>
      </c>
      <c r="D4" s="72" t="inlineStr">
        <is>
          <t>Себестоимость</t>
        </is>
      </c>
      <c r="E4" s="72" t="inlineStr">
        <is>
          <t>Комиссии</t>
        </is>
      </c>
      <c r="F4" s="72" t="inlineStr">
        <is>
          <t>Промо</t>
        </is>
      </c>
      <c r="G4" s="72" t="inlineStr">
        <is>
          <t>Логистика</t>
        </is>
      </c>
      <c r="H4" s="72" t="inlineStr">
        <is>
          <t>Ассортиментная прибыль</t>
        </is>
      </c>
      <c r="I4" s="72" t="inlineStr">
        <is>
          <t>Рентабельность продаж</t>
        </is>
      </c>
    </row>
    <row r="5">
      <c r="A5" s="43" t="inlineStr">
        <is>
          <t>SKU-101</t>
        </is>
      </c>
      <c r="B5" s="43" t="inlineStr">
        <is>
          <t>Маркетплейс</t>
        </is>
      </c>
      <c r="C5" s="73" t="n">
        <v>1250000</v>
      </c>
      <c r="D5" s="73" t="n">
        <v>740000</v>
      </c>
      <c r="E5" s="73" t="n">
        <v>185000</v>
      </c>
      <c r="F5" s="73" t="n">
        <v>92000</v>
      </c>
      <c r="G5" s="73" t="n">
        <v>61000</v>
      </c>
      <c r="H5" s="73">
        <f>C5-D5-E5-F5-G5</f>
        <v/>
      </c>
      <c r="I5" s="74">
        <f>IF(C5=0,0,H5/C5)</f>
        <v/>
      </c>
    </row>
    <row r="6">
      <c r="A6" s="43" t="inlineStr">
        <is>
          <t>SKU-102</t>
        </is>
      </c>
      <c r="B6" s="43" t="inlineStr">
        <is>
          <t>Сайт</t>
        </is>
      </c>
      <c r="C6" s="73" t="n">
        <v>760000</v>
      </c>
      <c r="D6" s="73" t="n">
        <v>420000</v>
      </c>
      <c r="E6" s="73" t="n">
        <v>38000</v>
      </c>
      <c r="F6" s="73" t="n">
        <v>42000</v>
      </c>
      <c r="G6" s="73" t="n">
        <v>29000</v>
      </c>
      <c r="H6" s="73">
        <f>C6-D6-E6-F6-G6</f>
        <v/>
      </c>
      <c r="I6" s="74">
        <f>IF(C6=0,0,H6/C6)</f>
        <v/>
      </c>
    </row>
    <row r="7">
      <c r="A7" s="43" t="inlineStr">
        <is>
          <t>SKU-103</t>
        </is>
      </c>
      <c r="B7" s="43" t="inlineStr">
        <is>
          <t>Розница</t>
        </is>
      </c>
      <c r="C7" s="73" t="n">
        <v>980000</v>
      </c>
      <c r="D7" s="73" t="n">
        <v>610000</v>
      </c>
      <c r="E7" s="73" t="n">
        <v>64000</v>
      </c>
      <c r="F7" s="73" t="n">
        <v>85000</v>
      </c>
      <c r="G7" s="73" t="n">
        <v>47000</v>
      </c>
      <c r="H7" s="73">
        <f>C7-D7-E7-F7-G7</f>
        <v/>
      </c>
      <c r="I7" s="74">
        <f>IF(C7=0,0,H7/C7)</f>
        <v/>
      </c>
    </row>
    <row r="8">
      <c r="A8" s="43" t="inlineStr">
        <is>
          <t>SKU-104</t>
        </is>
      </c>
      <c r="B8" s="43" t="inlineStr">
        <is>
          <t>Опт</t>
        </is>
      </c>
      <c r="C8" s="73" t="n">
        <v>1320000</v>
      </c>
      <c r="D8" s="73" t="n">
        <v>910000</v>
      </c>
      <c r="E8" s="73" t="n">
        <v>22000</v>
      </c>
      <c r="F8" s="73" t="n">
        <v>30000</v>
      </c>
      <c r="G8" s="73" t="n">
        <v>76000</v>
      </c>
      <c r="H8" s="73">
        <f>C8-D8-E8-F8-G8</f>
        <v/>
      </c>
      <c r="I8" s="74">
        <f>IF(C8=0,0,H8/C8)</f>
        <v/>
      </c>
    </row>
    <row r="9">
      <c r="A9" s="43" t="inlineStr">
        <is>
          <t>SKU-105</t>
        </is>
      </c>
      <c r="B9" s="43" t="inlineStr">
        <is>
          <t>Маркетплейс</t>
        </is>
      </c>
      <c r="C9" s="73" t="n">
        <v>690000</v>
      </c>
      <c r="D9" s="73" t="n">
        <v>430000</v>
      </c>
      <c r="E9" s="73" t="n">
        <v>122000</v>
      </c>
      <c r="F9" s="73" t="n">
        <v>65000</v>
      </c>
      <c r="G9" s="73" t="n">
        <v>54000</v>
      </c>
      <c r="H9" s="73">
        <f>C9-D9-E9-F9-G9</f>
        <v/>
      </c>
      <c r="I9" s="74">
        <f>IF(C9=0,0,H9/C9)</f>
        <v/>
      </c>
    </row>
    <row r="10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</row>
    <row r="11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</row>
    <row r="12">
      <c r="A12" s="43" t="inlineStr">
        <is>
          <t>Итоговая выручка</t>
        </is>
      </c>
      <c r="B12" s="51">
        <f>SUM(C5:C9)</f>
        <v/>
      </c>
      <c r="C12" s="43" t="n"/>
      <c r="D12" s="43" t="n"/>
      <c r="E12" s="43" t="n"/>
      <c r="F12" s="43" t="n"/>
      <c r="G12" s="43" t="n"/>
      <c r="H12" s="43" t="n"/>
      <c r="I12" s="43" t="n"/>
    </row>
    <row r="13">
      <c r="A13" s="43" t="inlineStr">
        <is>
          <t>Итоговая ассортиментная прибыль</t>
        </is>
      </c>
      <c r="B13" s="51">
        <f>SUM(H5:H9)</f>
        <v/>
      </c>
      <c r="C13" s="43" t="n"/>
      <c r="D13" s="43" t="n"/>
      <c r="E13" s="43" t="n"/>
      <c r="F13" s="43" t="n"/>
      <c r="G13" s="43" t="n"/>
      <c r="H13" s="43" t="n"/>
      <c r="I13" s="43" t="n"/>
    </row>
    <row r="14">
      <c r="A14" s="43" t="inlineStr">
        <is>
          <t>Средняя рентабельность продаж</t>
        </is>
      </c>
      <c r="B14" s="45">
        <f>IF(B12=0,0,B13/B12)</f>
        <v/>
      </c>
      <c r="C14" s="43" t="n"/>
      <c r="D14" s="43" t="n"/>
      <c r="E14" s="43" t="n"/>
      <c r="F14" s="43" t="n"/>
      <c r="G14" s="43" t="n"/>
      <c r="H14" s="43" t="n"/>
      <c r="I14" s="43" t="n"/>
    </row>
    <row r="15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</row>
    <row r="16">
      <c r="A16" s="42" t="inlineStr">
        <is>
          <t>Использование</t>
        </is>
      </c>
      <c r="B16" s="75" t="inlineStr">
        <is>
          <t>Этот лист нужен для обучения и демонстрации логики расчёта. Основные шаблоны остаются в остальных листах.</t>
        </is>
      </c>
      <c r="C16" s="43" t="n"/>
      <c r="D16" s="43" t="n"/>
      <c r="E16" s="43" t="n"/>
      <c r="F16" s="43" t="n"/>
      <c r="G16" s="43" t="n"/>
      <c r="H16" s="43" t="n"/>
      <c r="I16" s="43" t="n"/>
    </row>
    <row r="17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</row>
    <row r="18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</row>
  </sheetData>
  <mergeCells count="3">
    <mergeCell ref="A1:I1"/>
    <mergeCell ref="B16:I18"/>
    <mergeCell ref="B2:I2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6AA84F"/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18" customWidth="1" style="1" min="2" max="2"/>
    <col width="14" customWidth="1" style="1" min="3" max="3"/>
    <col width="22" customWidth="1" style="1" min="4" max="4"/>
    <col width="14" customWidth="1" style="1" min="5" max="5"/>
    <col width="14" customWidth="1" style="1" min="6" max="6"/>
    <col width="16" customWidth="1" style="1" min="7" max="7"/>
    <col width="16" customWidth="1" style="1" min="8" max="8"/>
  </cols>
  <sheetData>
    <row r="1" ht="28" customHeight="1" s="1">
      <c r="A1" s="38" t="inlineStr">
        <is>
          <t>Контур Маржи — Диагностика</t>
        </is>
      </c>
      <c r="B1" s="39" t="n"/>
      <c r="C1" s="39" t="n"/>
      <c r="D1" s="39" t="n"/>
      <c r="E1" s="39" t="n"/>
      <c r="F1" s="39" t="n"/>
      <c r="G1" s="39" t="n"/>
      <c r="H1" s="40" t="n"/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</row>
    <row r="3">
      <c r="A3" s="42" t="inlineStr">
        <is>
          <t>Показатель</t>
        </is>
      </c>
      <c r="B3" s="42" t="inlineStr">
        <is>
          <t>Значение</t>
        </is>
      </c>
      <c r="C3" s="41" t="n"/>
      <c r="D3" s="42" t="inlineStr">
        <is>
          <t>Зона</t>
        </is>
      </c>
      <c r="E3" s="42" t="inlineStr">
        <is>
          <t>Количество</t>
        </is>
      </c>
      <c r="F3" s="42" t="inlineStr">
        <is>
          <t>Доля</t>
        </is>
      </c>
      <c r="G3" s="41" t="n"/>
      <c r="H3" s="41" t="n"/>
    </row>
    <row r="4">
      <c r="A4" s="43" t="inlineStr">
        <is>
          <t>Индекс зрелости 0-100</t>
        </is>
      </c>
      <c r="B4" s="43">
        <f>SUM(B13:B17)</f>
        <v/>
      </c>
      <c r="C4" s="44" t="n"/>
      <c r="D4" s="43" t="inlineStr">
        <is>
          <t>красная</t>
        </is>
      </c>
      <c r="E4" s="43">
        <f>COUNTIF('SKU x канал'!L5:L104,D4)</f>
        <v/>
      </c>
      <c r="F4" s="45">
        <f>IFERROR(E4/SUM($E$4:$E$6),0)</f>
        <v/>
      </c>
      <c r="G4" s="44" t="n"/>
      <c r="H4" s="44" t="n"/>
    </row>
    <row r="5">
      <c r="A5" s="43" t="inlineStr">
        <is>
          <t>Красных SKU x канал</t>
        </is>
      </c>
      <c r="B5" s="43">
        <f>COUNTIF('SKU x канал'!L5:L104,"красная")</f>
        <v/>
      </c>
      <c r="C5" s="44" t="n"/>
      <c r="D5" s="43" t="inlineStr">
        <is>
          <t>жёлтая</t>
        </is>
      </c>
      <c r="E5" s="43">
        <f>COUNTIF('SKU x канал'!L5:L104,D5)</f>
        <v/>
      </c>
      <c r="F5" s="45">
        <f>IFERROR(E5/SUM($E$4:$E$6),0)</f>
        <v/>
      </c>
      <c r="G5" s="44" t="n"/>
      <c r="H5" s="44" t="n"/>
    </row>
    <row r="6">
      <c r="A6" s="43" t="inlineStr">
        <is>
          <t>Доля подтверждённых выводов</t>
        </is>
      </c>
      <c r="B6" s="45">
        <f>IFERROR(COUNTIF('Карта потерь'!D5:D50,"подтверждено")/COUNTA('Карта потерь'!D5:D50),0)</f>
        <v/>
      </c>
      <c r="C6" s="44" t="n"/>
      <c r="D6" s="43" t="inlineStr">
        <is>
          <t>зелёная</t>
        </is>
      </c>
      <c r="E6" s="43">
        <f>COUNTIF('SKU x канал'!L5:L104,D6)</f>
        <v/>
      </c>
      <c r="F6" s="45">
        <f>IFERROR(E6/SUM($E$4:$E$6),0)</f>
        <v/>
      </c>
      <c r="G6" s="44" t="n"/>
      <c r="H6" s="44" t="n"/>
    </row>
    <row r="7">
      <c r="A7" s="43" t="inlineStr">
        <is>
          <t>Полнота данных</t>
        </is>
      </c>
      <c r="B7" s="45">
        <f>IFERROR(SUM('Карта данных'!G5:G16)/(COUNTA('Карта данных'!A5:A16)*2),0)</f>
        <v/>
      </c>
      <c r="C7" s="44" t="n"/>
      <c r="D7" s="44" t="n"/>
      <c r="E7" s="44" t="n"/>
      <c r="F7" s="44" t="n"/>
      <c r="G7" s="44" t="n"/>
      <c r="H7" s="44" t="n"/>
    </row>
    <row r="8">
      <c r="A8" s="43" t="inlineStr">
        <is>
          <t>Решений для сессии</t>
        </is>
      </c>
      <c r="B8" s="43">
        <f>COUNTA('Карта потерь'!H5:H50)</f>
        <v/>
      </c>
      <c r="C8" s="44" t="n"/>
      <c r="D8" s="44" t="n"/>
      <c r="E8" s="44" t="n"/>
      <c r="F8" s="44" t="n"/>
      <c r="G8" s="44" t="n"/>
      <c r="H8" s="44" t="n"/>
    </row>
    <row r="9">
      <c r="A9" s="43" t="inlineStr">
        <is>
          <t>Гипотез требует проверки</t>
        </is>
      </c>
      <c r="B9" s="43">
        <f>COUNTIF('Гипотезы'!F5:F50,"требует проверки")</f>
        <v/>
      </c>
      <c r="C9" s="44" t="n"/>
      <c r="D9" s="43" t="inlineStr">
        <is>
          <t>Правило чтения</t>
        </is>
      </c>
      <c r="E9" s="76" t="n"/>
      <c r="F9" s="76" t="n"/>
      <c r="G9" s="76" t="n"/>
      <c r="H9" s="77" t="n"/>
    </row>
    <row r="10">
      <c r="A10" s="43" t="inlineStr">
        <is>
          <t>Готовность к сессии</t>
        </is>
      </c>
      <c r="B10" s="43">
        <f>IF(AND(B5&gt;0,B8&gt;=3),"готова","не готова")</f>
        <v/>
      </c>
      <c r="C10" s="44" t="n"/>
      <c r="D10" s="43" t="inlineStr">
        <is>
          <t>Красная зона без владельца считается отдельной красной зоной.</t>
        </is>
      </c>
      <c r="E10" s="76" t="n"/>
      <c r="F10" s="76" t="n"/>
      <c r="G10" s="76" t="n"/>
      <c r="H10" s="77" t="n"/>
    </row>
    <row r="11">
      <c r="A11" s="44" t="n"/>
      <c r="B11" s="44" t="n"/>
      <c r="C11" s="44" t="n"/>
      <c r="D11" s="43" t="inlineStr">
        <is>
          <t>Гипотеза не является фактом, пока не подтверждена данными.</t>
        </is>
      </c>
      <c r="E11" s="76" t="n"/>
      <c r="F11" s="76" t="n"/>
      <c r="G11" s="76" t="n"/>
      <c r="H11" s="77" t="n"/>
    </row>
    <row r="12">
      <c r="A12" s="43" t="inlineStr">
        <is>
          <t>Блок зрелости</t>
        </is>
      </c>
      <c r="B12" s="43" t="inlineStr">
        <is>
          <t>Балл</t>
        </is>
      </c>
      <c r="C12" s="44" t="n"/>
      <c r="D12" s="43" t="inlineStr">
        <is>
          <t>Решение без метрики проверки считается намерением.</t>
        </is>
      </c>
      <c r="E12" s="76" t="n"/>
      <c r="F12" s="76" t="n"/>
      <c r="G12" s="76" t="n"/>
      <c r="H12" s="77" t="n"/>
    </row>
    <row r="13">
      <c r="A13" s="43" t="inlineStr">
        <is>
          <t>Данные</t>
        </is>
      </c>
      <c r="B13" s="43">
        <f>ROUND(IFERROR(SUM('Карта данных'!G5:G16)/(COUNTA('Карта данных'!A5:A16)*2),0)*20,0)</f>
        <v/>
      </c>
      <c r="C13" s="44" t="n"/>
      <c r="D13" s="44" t="n"/>
      <c r="E13" s="44" t="n"/>
      <c r="F13" s="44" t="n"/>
      <c r="G13" s="44" t="n"/>
      <c r="H13" s="44" t="n"/>
    </row>
    <row r="14">
      <c r="A14" s="43" t="inlineStr">
        <is>
          <t>Экономика</t>
        </is>
      </c>
      <c r="B14" s="43">
        <f>IF(COUNT('SKU x канал'!K5:K104)&gt;0,20,0)</f>
        <v/>
      </c>
      <c r="C14" s="44" t="n"/>
      <c r="D14" s="44" t="n"/>
      <c r="E14" s="44" t="n"/>
      <c r="F14" s="44" t="n"/>
      <c r="G14" s="44" t="n"/>
      <c r="H14" s="44" t="n"/>
    </row>
    <row r="15">
      <c r="A15" s="43" t="inlineStr">
        <is>
          <t>Каналы</t>
        </is>
      </c>
      <c r="B15" s="43">
        <f>IF(COUNTA('SKU x канал'!C5:C104)&gt;0,20,0)</f>
        <v/>
      </c>
      <c r="C15" s="44" t="n"/>
      <c r="D15" s="44" t="n"/>
      <c r="E15" s="44" t="n"/>
      <c r="F15" s="44" t="n"/>
      <c r="G15" s="44" t="n"/>
      <c r="H15" s="44" t="n"/>
    </row>
    <row r="16">
      <c r="A16" s="43" t="inlineStr">
        <is>
          <t>Решения</t>
        </is>
      </c>
      <c r="B16" s="43">
        <f>IF(COUNTA('Карта потерь'!H5:H50)&gt;0,20,0)</f>
        <v/>
      </c>
      <c r="C16" s="44" t="n"/>
      <c r="D16" s="44" t="n"/>
      <c r="E16" s="44" t="n"/>
      <c r="F16" s="44" t="n"/>
      <c r="G16" s="44" t="n"/>
      <c r="H16" s="44" t="n"/>
    </row>
    <row r="17">
      <c r="A17" s="43" t="inlineStr">
        <is>
          <t>Ритм</t>
        </is>
      </c>
      <c r="B17" s="43">
        <f>IF(B8&gt;=3,20,0)</f>
        <v/>
      </c>
      <c r="C17" s="44" t="n"/>
      <c r="D17" s="44" t="n"/>
      <c r="E17" s="44" t="n"/>
      <c r="F17" s="44" t="n"/>
      <c r="G17" s="44" t="n"/>
      <c r="H17" s="44" t="n"/>
    </row>
  </sheetData>
  <mergeCells count="4">
    <mergeCell ref="D12:H12"/>
    <mergeCell ref="D10:H10"/>
    <mergeCell ref="D9:H9"/>
    <mergeCell ref="D11:H11"/>
  </mergeCells>
  <conditionalFormatting sqref="D4:D6">
    <cfRule type="containsText" priority="1" operator="containsText" dxfId="0" text="красная"/>
    <cfRule type="containsText" priority="2" operator="containsText" dxfId="1" text="жёлтая"/>
    <cfRule type="containsText" priority="3" operator="containsText" dxfId="2" text="зелёная"/>
  </conditionalFormatting>
  <conditionalFormatting sqref="B10">
    <cfRule type="containsText" priority="4" operator="containsText" dxfId="0" text="красная"/>
    <cfRule type="containsText" priority="5" operator="containsText" dxfId="1" text="жёлтая"/>
    <cfRule type="containsText" priority="6" operator="containsText" dxfId="2" text="зелёная"/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AA84F"/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14" customWidth="1" style="1" min="2" max="2"/>
    <col width="24" customWidth="1" style="1" min="3" max="3"/>
    <col width="18" customWidth="1" style="1" min="4" max="4"/>
    <col width="14" customWidth="1" style="1" min="5" max="5"/>
    <col width="34" customWidth="1" style="1" min="6" max="6"/>
    <col width="14" customWidth="1" style="1" min="7" max="7"/>
  </cols>
  <sheetData>
    <row r="1" ht="28" customHeight="1" s="1">
      <c r="A1" s="38" t="inlineStr">
        <is>
          <t>Карта данных</t>
        </is>
      </c>
      <c r="B1" s="39" t="n"/>
      <c r="C1" s="39" t="n"/>
      <c r="D1" s="39" t="n"/>
      <c r="E1" s="39" t="n"/>
      <c r="F1" s="39" t="n"/>
      <c r="G1" s="40" t="n"/>
    </row>
    <row r="2">
      <c r="A2" s="41" t="n"/>
      <c r="B2" s="41" t="n"/>
      <c r="C2" s="41" t="n"/>
      <c r="D2" s="41" t="n"/>
      <c r="E2" s="41" t="n"/>
      <c r="F2" s="41" t="n"/>
      <c r="G2" s="41" t="n"/>
    </row>
    <row r="3">
      <c r="A3" s="41" t="n"/>
      <c r="B3" s="41" t="n"/>
      <c r="C3" s="41" t="n"/>
      <c r="D3" s="41" t="n"/>
      <c r="E3" s="41" t="n"/>
      <c r="F3" s="41" t="n"/>
      <c r="G3" s="41" t="n"/>
    </row>
    <row r="4">
      <c r="A4" s="43" t="inlineStr">
        <is>
          <t>Данные</t>
        </is>
      </c>
      <c r="B4" s="43" t="inlineStr">
        <is>
          <t>Есть / нет</t>
        </is>
      </c>
      <c r="C4" s="43" t="inlineStr">
        <is>
          <t>Источник</t>
        </is>
      </c>
      <c r="D4" s="43" t="inlineStr">
        <is>
          <t>Период</t>
        </is>
      </c>
      <c r="E4" s="43" t="inlineStr">
        <is>
          <t>Качество 0-2</t>
        </is>
      </c>
      <c r="F4" s="43" t="inlineStr">
        <is>
          <t>Комментарий</t>
        </is>
      </c>
      <c r="G4" s="43" t="inlineStr">
        <is>
          <t>Балл</t>
        </is>
      </c>
    </row>
    <row r="5">
      <c r="A5" s="43" t="inlineStr">
        <is>
          <t>Список SKU</t>
        </is>
      </c>
      <c r="B5" s="50" t="str"/>
      <c r="C5" s="50" t="str"/>
      <c r="D5" s="50" t="str"/>
      <c r="E5" s="50" t="str"/>
      <c r="F5" s="50" t="str"/>
      <c r="G5" s="43">
        <f>IF(B5="есть",E5,IF(B5="частично",E5/2,0))</f>
        <v/>
      </c>
    </row>
    <row r="6">
      <c r="A6" s="43" t="inlineStr">
        <is>
          <t>Продажи по SKU</t>
        </is>
      </c>
      <c r="B6" s="50" t="str"/>
      <c r="C6" s="50" t="str"/>
      <c r="D6" s="50" t="str"/>
      <c r="E6" s="50" t="str"/>
      <c r="F6" s="50" t="str"/>
      <c r="G6" s="43">
        <f>IF(B6="есть",E6,IF(B6="частично",E6/2,0))</f>
        <v/>
      </c>
    </row>
    <row r="7">
      <c r="A7" s="43" t="inlineStr">
        <is>
          <t>Продажи по каналам</t>
        </is>
      </c>
      <c r="B7" s="50" t="str"/>
      <c r="C7" s="50" t="str"/>
      <c r="D7" s="50" t="str"/>
      <c r="E7" s="50" t="str"/>
      <c r="F7" s="50" t="str"/>
      <c r="G7" s="43">
        <f>IF(B7="есть",E7,IF(B7="частично",E7/2,0))</f>
        <v/>
      </c>
    </row>
    <row r="8">
      <c r="A8" s="43" t="inlineStr">
        <is>
          <t>Цены по каналам</t>
        </is>
      </c>
      <c r="B8" s="50" t="str"/>
      <c r="C8" s="50" t="str"/>
      <c r="D8" s="50" t="str"/>
      <c r="E8" s="50" t="str"/>
      <c r="F8" s="50" t="str"/>
      <c r="G8" s="43">
        <f>IF(B8="есть",E8,IF(B8="частично",E8/2,0))</f>
        <v/>
      </c>
    </row>
    <row r="9">
      <c r="A9" s="43" t="inlineStr">
        <is>
          <t>Себестоимость</t>
        </is>
      </c>
      <c r="B9" s="50" t="str"/>
      <c r="C9" s="50" t="str"/>
      <c r="D9" s="50" t="str"/>
      <c r="E9" s="50" t="str"/>
      <c r="F9" s="50" t="str"/>
      <c r="G9" s="43">
        <f>IF(B9="есть",E9,IF(B9="частично",E9/2,0))</f>
        <v/>
      </c>
    </row>
    <row r="10">
      <c r="A10" s="43" t="inlineStr">
        <is>
          <t>Комиссии</t>
        </is>
      </c>
      <c r="B10" s="50" t="str"/>
      <c r="C10" s="50" t="str"/>
      <c r="D10" s="50" t="str"/>
      <c r="E10" s="50" t="str"/>
      <c r="F10" s="50" t="str"/>
      <c r="G10" s="43">
        <f>IF(B10="есть",E10,IF(B10="частично",E10/2,0))</f>
        <v/>
      </c>
    </row>
    <row r="11">
      <c r="A11" s="43" t="inlineStr">
        <is>
          <t>Промо и скидки</t>
        </is>
      </c>
      <c r="B11" s="50" t="str"/>
      <c r="C11" s="50" t="str"/>
      <c r="D11" s="50" t="str"/>
      <c r="E11" s="50" t="str"/>
      <c r="F11" s="50" t="str"/>
      <c r="G11" s="43">
        <f>IF(B11="есть",E11,IF(B11="частично",E11/2,0))</f>
        <v/>
      </c>
    </row>
    <row r="12">
      <c r="A12" s="43" t="inlineStr">
        <is>
          <t>Запасы</t>
        </is>
      </c>
      <c r="B12" s="50" t="str"/>
      <c r="C12" s="50" t="str"/>
      <c r="D12" s="50" t="str"/>
      <c r="E12" s="50" t="str"/>
      <c r="F12" s="50" t="str"/>
      <c r="G12" s="43">
        <f>IF(B12="есть",E12,IF(B12="частично",E12/2,0))</f>
        <v/>
      </c>
    </row>
    <row r="13">
      <c r="A13" s="43" t="inlineStr">
        <is>
          <t>Возвраты</t>
        </is>
      </c>
      <c r="B13" s="50" t="str"/>
      <c r="C13" s="50" t="str"/>
      <c r="D13" s="50" t="str"/>
      <c r="E13" s="50" t="str"/>
      <c r="F13" s="50" t="str"/>
      <c r="G13" s="43">
        <f>IF(B13="есть",E13,IF(B13="частично",E13/2,0))</f>
        <v/>
      </c>
    </row>
    <row r="14">
      <c r="A14" s="43" t="inlineStr">
        <is>
          <t>Логистика</t>
        </is>
      </c>
      <c r="B14" s="50" t="str"/>
      <c r="C14" s="50" t="str"/>
      <c r="D14" s="50" t="str"/>
      <c r="E14" s="50" t="str"/>
      <c r="F14" s="50" t="str"/>
      <c r="G14" s="43">
        <f>IF(B14="есть",E14,IF(B14="частично",E14/2,0))</f>
        <v/>
      </c>
    </row>
    <row r="15">
      <c r="A15" s="43" t="inlineStr">
        <is>
          <t>Штрафы</t>
        </is>
      </c>
      <c r="B15" s="50" t="str"/>
      <c r="C15" s="50" t="str"/>
      <c r="D15" s="50" t="str"/>
      <c r="E15" s="50" t="str"/>
      <c r="F15" s="50" t="str"/>
      <c r="G15" s="43">
        <f>IF(B15="есть",E15,IF(B15="частично",E15/2,0))</f>
        <v/>
      </c>
    </row>
    <row r="16">
      <c r="A16" s="43" t="inlineStr">
        <is>
          <t>Ответственные</t>
        </is>
      </c>
      <c r="B16" s="50" t="str"/>
      <c r="C16" s="50" t="str"/>
      <c r="D16" s="50" t="str"/>
      <c r="E16" s="50" t="str"/>
      <c r="F16" s="50" t="str"/>
      <c r="G16" s="43">
        <f>IF(B16="есть",E16,IF(B16="частично",E16/2,0))</f>
        <v/>
      </c>
    </row>
  </sheetData>
  <dataValidations count="2">
    <dataValidation sqref="B5:B16" showDropDown="0" showInputMessage="0" showErrorMessage="0" allowBlank="0" type="list">
      <formula1>"есть,частично,нет"</formula1>
    </dataValidation>
    <dataValidation sqref="E5:E16" showDropDown="0" showInputMessage="0" showErrorMessage="0" allowBlank="0" type="whole" operator="between">
      <formula1>0</formula1>
      <formula2>2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6AA84F"/>
    <outlinePr summaryBelow="1" summaryRight="1"/>
    <pageSetUpPr/>
  </sheetPr>
  <dimension ref="A1:O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8" customWidth="1" style="1" min="2" max="2"/>
    <col width="18" customWidth="1" style="1" min="3" max="3"/>
    <col width="14" customWidth="1" style="1" min="4" max="4"/>
    <col width="14" customWidth="1" style="1" min="5" max="5"/>
    <col width="14" customWidth="1" style="1" min="6" max="6"/>
    <col width="14" customWidth="1" style="1" min="7" max="7"/>
    <col width="14" customWidth="1" style="1" min="8" max="8"/>
    <col width="14" customWidth="1" style="1" min="9" max="9"/>
    <col width="16" customWidth="1" style="1" min="10" max="10"/>
    <col width="14" customWidth="1" style="1" min="11" max="11"/>
    <col width="14" customWidth="1" style="1" min="12" max="12"/>
    <col width="20" customWidth="1" style="1" min="13" max="13"/>
    <col width="20" customWidth="1" style="1" min="14" max="14"/>
    <col width="34" customWidth="1" style="1" min="15" max="15"/>
  </cols>
  <sheetData>
    <row r="1" ht="28" customHeight="1" s="1">
      <c r="A1" s="38" t="inlineStr">
        <is>
          <t>SKU x канал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6" t="n"/>
      <c r="N1" s="36" t="n"/>
      <c r="O1" s="37" t="n"/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26" t="n"/>
      <c r="N2" s="26" t="n"/>
      <c r="O2" s="26" t="n"/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26" t="n"/>
      <c r="N3" s="26" t="n"/>
      <c r="O3" s="26" t="n"/>
    </row>
    <row r="4">
      <c r="A4" s="43" t="inlineStr">
        <is>
          <t>SKU</t>
        </is>
      </c>
      <c r="B4" s="43" t="inlineStr">
        <is>
          <t>Категория</t>
        </is>
      </c>
      <c r="C4" s="43" t="inlineStr">
        <is>
          <t>Канал</t>
        </is>
      </c>
      <c r="D4" s="43" t="inlineStr">
        <is>
          <t>Выручка</t>
        </is>
      </c>
      <c r="E4" s="43" t="inlineStr">
        <is>
          <t>Себестоимость</t>
        </is>
      </c>
      <c r="F4" s="43" t="inlineStr">
        <is>
          <t>Комиссии</t>
        </is>
      </c>
      <c r="G4" s="43" t="inlineStr">
        <is>
          <t>Логистика</t>
        </is>
      </c>
      <c r="H4" s="43" t="inlineStr">
        <is>
          <t>Возвраты</t>
        </is>
      </c>
      <c r="I4" s="43" t="inlineStr">
        <is>
          <t>Промо</t>
        </is>
      </c>
      <c r="J4" s="43" t="inlineStr">
        <is>
          <t>Чистая прибыль</t>
        </is>
      </c>
      <c r="K4" s="43" t="inlineStr">
        <is>
          <t>Чистая маржа</t>
        </is>
      </c>
      <c r="L4" s="43" t="inlineStr">
        <is>
          <t>Зона</t>
        </is>
      </c>
      <c r="M4" s="27" t="inlineStr">
        <is>
          <t>Статус вывода</t>
        </is>
      </c>
      <c r="N4" s="27" t="inlineStr">
        <is>
          <t>Владелец проверки</t>
        </is>
      </c>
      <c r="O4" s="27" t="inlineStr">
        <is>
          <t>Решение для сессии</t>
        </is>
      </c>
    </row>
    <row r="5">
      <c r="A5" s="43" t="inlineStr">
        <is>
          <t>SKU-001</t>
        </is>
      </c>
      <c r="B5" s="43" t="inlineStr">
        <is>
          <t>Категория A</t>
        </is>
      </c>
      <c r="C5" s="43" t="inlineStr">
        <is>
          <t>Маркетплейс</t>
        </is>
      </c>
      <c r="D5" s="51" t="n">
        <v>100000</v>
      </c>
      <c r="E5" s="51" t="n">
        <v>60000</v>
      </c>
      <c r="F5" s="51" t="n">
        <v>12000</v>
      </c>
      <c r="G5" s="51" t="n">
        <v>7000</v>
      </c>
      <c r="H5" s="51" t="n">
        <v>5000</v>
      </c>
      <c r="I5" s="51" t="n">
        <v>8000</v>
      </c>
      <c r="J5" s="51">
        <f>IF(D5="","",D5-E5-F5-G5-H5-I5)</f>
        <v/>
      </c>
      <c r="K5" s="45">
        <f>IF(D5="","",IFERROR(J5/D5,0))</f>
        <v/>
      </c>
      <c r="L5" s="43">
        <f>IF(K5="","",IF(K5&lt;'Справочники'!$H$3,"красная",IF(K5&lt;'Справочники'!$H$2,"жёлтая","зелёная")))</f>
        <v/>
      </c>
      <c r="M5" s="28" t="n"/>
      <c r="N5" s="28" t="n"/>
      <c r="O5" s="28" t="n"/>
    </row>
    <row r="6">
      <c r="A6" s="43" t="inlineStr">
        <is>
          <t>SKU-002</t>
        </is>
      </c>
      <c r="B6" s="43" t="inlineStr">
        <is>
          <t>Категория A</t>
        </is>
      </c>
      <c r="C6" s="43" t="inlineStr">
        <is>
          <t>Сеть</t>
        </is>
      </c>
      <c r="D6" s="51" t="n">
        <v>85000</v>
      </c>
      <c r="E6" s="51" t="n">
        <v>51000</v>
      </c>
      <c r="F6" s="51" t="n">
        <v>5000</v>
      </c>
      <c r="G6" s="51" t="n">
        <v>4000</v>
      </c>
      <c r="H6" s="51" t="n">
        <v>1500</v>
      </c>
      <c r="I6" s="51" t="n">
        <v>6000</v>
      </c>
      <c r="J6" s="51">
        <f>IF(D6="","",D6-E6-F6-G6-H6-I6)</f>
        <v/>
      </c>
      <c r="K6" s="45">
        <f>IF(D6="","",IFERROR(J6/D6,0))</f>
        <v/>
      </c>
      <c r="L6" s="43">
        <f>IF(K6="","",IF(K6&lt;'Справочники'!$H$3,"красная",IF(K6&lt;'Справочники'!$H$2,"жёлтая","зелёная")))</f>
        <v/>
      </c>
      <c r="M6" s="28" t="n"/>
      <c r="N6" s="28" t="n"/>
      <c r="O6" s="28" t="n"/>
    </row>
    <row r="7">
      <c r="A7" s="43" t="inlineStr">
        <is>
          <t>SKU-003</t>
        </is>
      </c>
      <c r="B7" s="43" t="inlineStr">
        <is>
          <t>Категория B</t>
        </is>
      </c>
      <c r="C7" s="43" t="inlineStr">
        <is>
          <t>Прямой канал</t>
        </is>
      </c>
      <c r="D7" s="51" t="n">
        <v>120000</v>
      </c>
      <c r="E7" s="51" t="n">
        <v>65000</v>
      </c>
      <c r="F7" s="51" t="n">
        <v>3000</v>
      </c>
      <c r="G7" s="51" t="n">
        <v>6000</v>
      </c>
      <c r="H7" s="51" t="n">
        <v>2000</v>
      </c>
      <c r="I7" s="51" t="n">
        <v>10000</v>
      </c>
      <c r="J7" s="51">
        <f>IF(D7="","",D7-E7-F7-G7-H7-I7)</f>
        <v/>
      </c>
      <c r="K7" s="45">
        <f>IF(D7="","",IFERROR(J7/D7,0))</f>
        <v/>
      </c>
      <c r="L7" s="43">
        <f>IF(K7="","",IF(K7&lt;'Справочники'!$H$3,"красная",IF(K7&lt;'Справочники'!$H$2,"жёлтая","зелёная")))</f>
        <v/>
      </c>
      <c r="M7" s="28" t="n"/>
      <c r="N7" s="28" t="n"/>
      <c r="O7" s="28" t="n"/>
    </row>
    <row r="8">
      <c r="A8" s="43" t="inlineStr">
        <is>
          <t>SKU-004</t>
        </is>
      </c>
      <c r="B8" s="43" t="inlineStr">
        <is>
          <t>Категория B</t>
        </is>
      </c>
      <c r="C8" s="43" t="inlineStr">
        <is>
          <t>Маркетплейс</t>
        </is>
      </c>
      <c r="D8" s="51" t="n">
        <v>60000</v>
      </c>
      <c r="E8" s="51" t="n">
        <v>39000</v>
      </c>
      <c r="F8" s="51" t="n">
        <v>9000</v>
      </c>
      <c r="G8" s="51" t="n">
        <v>5000</v>
      </c>
      <c r="H8" s="51" t="n">
        <v>4500</v>
      </c>
      <c r="I8" s="51" t="n">
        <v>6000</v>
      </c>
      <c r="J8" s="51">
        <f>IF(D8="","",D8-E8-F8-G8-H8-I8)</f>
        <v/>
      </c>
      <c r="K8" s="45">
        <f>IF(D8="","",IFERROR(J8/D8,0))</f>
        <v/>
      </c>
      <c r="L8" s="43">
        <f>IF(K8="","",IF(K8&lt;'Справочники'!$H$3,"красная",IF(K8&lt;'Справочники'!$H$2,"жёлтая","зелёная")))</f>
        <v/>
      </c>
      <c r="M8" s="28" t="n"/>
      <c r="N8" s="28" t="n"/>
      <c r="O8" s="28" t="n"/>
    </row>
    <row r="9">
      <c r="A9" s="43" t="inlineStr">
        <is>
          <t>SKU-005</t>
        </is>
      </c>
      <c r="B9" s="43" t="inlineStr">
        <is>
          <t>Категория C</t>
        </is>
      </c>
      <c r="C9" s="43" t="inlineStr">
        <is>
          <t>Дистрибьютор</t>
        </is>
      </c>
      <c r="D9" s="51" t="n">
        <v>95000</v>
      </c>
      <c r="E9" s="51" t="n">
        <v>67000</v>
      </c>
      <c r="F9" s="51" t="n">
        <v>4000</v>
      </c>
      <c r="G9" s="51" t="n">
        <v>3000</v>
      </c>
      <c r="H9" s="51" t="n">
        <v>500</v>
      </c>
      <c r="I9" s="51" t="n">
        <v>2000</v>
      </c>
      <c r="J9" s="51">
        <f>IF(D9="","",D9-E9-F9-G9-H9-I9)</f>
        <v/>
      </c>
      <c r="K9" s="45">
        <f>IF(D9="","",IFERROR(J9/D9,0))</f>
        <v/>
      </c>
      <c r="L9" s="43">
        <f>IF(K9="","",IF(K9&lt;'Справочники'!$H$3,"красная",IF(K9&lt;'Справочники'!$H$2,"жёлтая","зелёная")))</f>
        <v/>
      </c>
      <c r="M9" s="28" t="n"/>
      <c r="N9" s="28" t="n"/>
      <c r="O9" s="28" t="n"/>
    </row>
    <row r="10">
      <c r="A10" s="50" t="str"/>
      <c r="B10" s="50" t="str"/>
      <c r="C10" s="50" t="str"/>
      <c r="D10" s="52" t="str"/>
      <c r="E10" s="52" t="str"/>
      <c r="F10" s="52" t="str"/>
      <c r="G10" s="52" t="str"/>
      <c r="H10" s="52" t="str"/>
      <c r="I10" s="52" t="str"/>
      <c r="J10" s="51">
        <f>IF(D10="","",D10-E10-F10-G10-H10-I10)</f>
        <v/>
      </c>
      <c r="K10" s="45">
        <f>IF(D10="","",IFERROR(J10/D10,0))</f>
        <v/>
      </c>
      <c r="L10" s="43">
        <f>IF(K10="","",IF(K10&lt;'Справочники'!$H$3,"красная",IF(K10&lt;'Справочники'!$H$2,"жёлтая","зелёная")))</f>
        <v/>
      </c>
      <c r="M10" s="28" t="n"/>
      <c r="N10" s="28" t="n"/>
      <c r="O10" s="28" t="n"/>
    </row>
    <row r="11">
      <c r="A11" s="50" t="str"/>
      <c r="B11" s="50" t="str"/>
      <c r="C11" s="50" t="str"/>
      <c r="D11" s="52" t="str"/>
      <c r="E11" s="52" t="str"/>
      <c r="F11" s="52" t="str"/>
      <c r="G11" s="52" t="str"/>
      <c r="H11" s="52" t="str"/>
      <c r="I11" s="52" t="str"/>
      <c r="J11" s="51">
        <f>IF(D11="","",D11-E11-F11-G11-H11-I11)</f>
        <v/>
      </c>
      <c r="K11" s="45">
        <f>IF(D11="","",IFERROR(J11/D11,0))</f>
        <v/>
      </c>
      <c r="L11" s="43">
        <f>IF(K11="","",IF(K11&lt;'Справочники'!$H$3,"красная",IF(K11&lt;'Справочники'!$H$2,"жёлтая","зелёная")))</f>
        <v/>
      </c>
      <c r="M11" s="28" t="n"/>
      <c r="N11" s="28" t="n"/>
      <c r="O11" s="28" t="n"/>
    </row>
    <row r="12">
      <c r="A12" s="50" t="str"/>
      <c r="B12" s="50" t="str"/>
      <c r="C12" s="50" t="str"/>
      <c r="D12" s="52" t="str"/>
      <c r="E12" s="52" t="str"/>
      <c r="F12" s="52" t="str"/>
      <c r="G12" s="52" t="str"/>
      <c r="H12" s="52" t="str"/>
      <c r="I12" s="52" t="str"/>
      <c r="J12" s="51">
        <f>IF(D12="","",D12-E12-F12-G12-H12-I12)</f>
        <v/>
      </c>
      <c r="K12" s="45">
        <f>IF(D12="","",IFERROR(J12/D12,0))</f>
        <v/>
      </c>
      <c r="L12" s="43">
        <f>IF(K12="","",IF(K12&lt;'Справочники'!$H$3,"красная",IF(K12&lt;'Справочники'!$H$2,"жёлтая","зелёная")))</f>
        <v/>
      </c>
      <c r="M12" s="28" t="n"/>
      <c r="N12" s="28" t="n"/>
      <c r="O12" s="28" t="n"/>
    </row>
    <row r="13">
      <c r="A13" s="50" t="str"/>
      <c r="B13" s="50" t="str"/>
      <c r="C13" s="50" t="str"/>
      <c r="D13" s="52" t="str"/>
      <c r="E13" s="52" t="str"/>
      <c r="F13" s="52" t="str"/>
      <c r="G13" s="52" t="str"/>
      <c r="H13" s="52" t="str"/>
      <c r="I13" s="52" t="str"/>
      <c r="J13" s="51">
        <f>IF(D13="","",D13-E13-F13-G13-H13-I13)</f>
        <v/>
      </c>
      <c r="K13" s="45">
        <f>IF(D13="","",IFERROR(J13/D13,0))</f>
        <v/>
      </c>
      <c r="L13" s="43">
        <f>IF(K13="","",IF(K13&lt;'Справочники'!$H$3,"красная",IF(K13&lt;'Справочники'!$H$2,"жёлтая","зелёная")))</f>
        <v/>
      </c>
      <c r="M13" s="28" t="n"/>
      <c r="N13" s="28" t="n"/>
      <c r="O13" s="28" t="n"/>
    </row>
    <row r="14">
      <c r="A14" s="50" t="str"/>
      <c r="B14" s="50" t="str"/>
      <c r="C14" s="50" t="str"/>
      <c r="D14" s="52" t="str"/>
      <c r="E14" s="52" t="str"/>
      <c r="F14" s="52" t="str"/>
      <c r="G14" s="52" t="str"/>
      <c r="H14" s="52" t="str"/>
      <c r="I14" s="52" t="str"/>
      <c r="J14" s="51">
        <f>IF(D14="","",D14-E14-F14-G14-H14-I14)</f>
        <v/>
      </c>
      <c r="K14" s="45">
        <f>IF(D14="","",IFERROR(J14/D14,0))</f>
        <v/>
      </c>
      <c r="L14" s="43">
        <f>IF(K14="","",IF(K14&lt;'Справочники'!$H$3,"красная",IF(K14&lt;'Справочники'!$H$2,"жёлтая","зелёная")))</f>
        <v/>
      </c>
      <c r="M14" s="28" t="n"/>
      <c r="N14" s="28" t="n"/>
      <c r="O14" s="28" t="n"/>
    </row>
    <row r="15">
      <c r="A15" s="50" t="n"/>
      <c r="B15" s="50" t="n"/>
      <c r="C15" s="50" t="n"/>
      <c r="D15" s="52" t="n"/>
      <c r="E15" s="52" t="n"/>
      <c r="F15" s="52" t="n"/>
      <c r="G15" s="52" t="n"/>
      <c r="H15" s="52" t="n"/>
      <c r="I15" s="52" t="n"/>
      <c r="J15" s="51">
        <f>IF(D15="","",D15-E15-F15-G15-H15-I15)</f>
        <v/>
      </c>
      <c r="K15" s="45">
        <f>IF(D15="","",IFERROR(J15/D15,0))</f>
        <v/>
      </c>
      <c r="L15" s="43">
        <f>IF(K15="","",IF(K15&lt;'Справочники'!$H$3,"красная",IF(K15&lt;'Справочники'!$H$2,"жёлтая","зелёная")))</f>
        <v/>
      </c>
      <c r="M15" s="28" t="n"/>
      <c r="N15" s="28" t="n"/>
      <c r="O15" s="28" t="n"/>
    </row>
    <row r="16">
      <c r="A16" s="50" t="n"/>
      <c r="B16" s="50" t="n"/>
      <c r="C16" s="50" t="n"/>
      <c r="D16" s="52" t="n"/>
      <c r="E16" s="52" t="n"/>
      <c r="F16" s="52" t="n"/>
      <c r="G16" s="52" t="n"/>
      <c r="H16" s="52" t="n"/>
      <c r="I16" s="52" t="n"/>
      <c r="J16" s="51">
        <f>IF(D16="","",D16-E16-F16-G16-H16-I16)</f>
        <v/>
      </c>
      <c r="K16" s="45">
        <f>IF(D16="","",IFERROR(J16/D16,0))</f>
        <v/>
      </c>
      <c r="L16" s="43">
        <f>IF(K16="","",IF(K16&lt;'Справочники'!$H$3,"красная",IF(K16&lt;'Справочники'!$H$2,"жёлтая","зелёная")))</f>
        <v/>
      </c>
      <c r="M16" s="28" t="n"/>
      <c r="N16" s="28" t="n"/>
      <c r="O16" s="28" t="n"/>
    </row>
    <row r="17">
      <c r="A17" s="50" t="n"/>
      <c r="B17" s="50" t="n"/>
      <c r="C17" s="50" t="n"/>
      <c r="D17" s="52" t="n"/>
      <c r="E17" s="52" t="n"/>
      <c r="F17" s="52" t="n"/>
      <c r="G17" s="52" t="n"/>
      <c r="H17" s="52" t="n"/>
      <c r="I17" s="52" t="n"/>
      <c r="J17" s="51">
        <f>IF(D17="","",D17-E17-F17-G17-H17-I17)</f>
        <v/>
      </c>
      <c r="K17" s="45">
        <f>IF(D17="","",IFERROR(J17/D17,0))</f>
        <v/>
      </c>
      <c r="L17" s="43">
        <f>IF(K17="","",IF(K17&lt;'Справочники'!$H$3,"красная",IF(K17&lt;'Справочники'!$H$2,"жёлтая","зелёная")))</f>
        <v/>
      </c>
      <c r="M17" s="28" t="n"/>
      <c r="N17" s="28" t="n"/>
      <c r="O17" s="28" t="n"/>
    </row>
    <row r="18">
      <c r="A18" s="50" t="n"/>
      <c r="B18" s="50" t="n"/>
      <c r="C18" s="50" t="n"/>
      <c r="D18" s="52" t="n"/>
      <c r="E18" s="52" t="n"/>
      <c r="F18" s="52" t="n"/>
      <c r="G18" s="52" t="n"/>
      <c r="H18" s="52" t="n"/>
      <c r="I18" s="52" t="n"/>
      <c r="J18" s="51">
        <f>IF(D18="","",D18-E18-F18-G18-H18-I18)</f>
        <v/>
      </c>
      <c r="K18" s="45">
        <f>IF(D18="","",IFERROR(J18/D18,0))</f>
        <v/>
      </c>
      <c r="L18" s="43">
        <f>IF(K18="","",IF(K18&lt;'Справочники'!$H$3,"красная",IF(K18&lt;'Справочники'!$H$2,"жёлтая","зелёная")))</f>
        <v/>
      </c>
      <c r="M18" s="28" t="n"/>
      <c r="N18" s="28" t="n"/>
      <c r="O18" s="28" t="n"/>
    </row>
    <row r="19">
      <c r="A19" s="50" t="n"/>
      <c r="B19" s="50" t="n"/>
      <c r="C19" s="50" t="n"/>
      <c r="D19" s="52" t="n"/>
      <c r="E19" s="52" t="n"/>
      <c r="F19" s="52" t="n"/>
      <c r="G19" s="52" t="n"/>
      <c r="H19" s="52" t="n"/>
      <c r="I19" s="52" t="n"/>
      <c r="J19" s="51">
        <f>IF(D19="","",D19-E19-F19-G19-H19-I19)</f>
        <v/>
      </c>
      <c r="K19" s="45">
        <f>IF(D19="","",IFERROR(J19/D19,0))</f>
        <v/>
      </c>
      <c r="L19" s="43">
        <f>IF(K19="","",IF(K19&lt;'Справочники'!$H$3,"красная",IF(K19&lt;'Справочники'!$H$2,"жёлтая","зелёная")))</f>
        <v/>
      </c>
      <c r="M19" s="28" t="n"/>
      <c r="N19" s="28" t="n"/>
      <c r="O19" s="28" t="n"/>
    </row>
    <row r="20">
      <c r="A20" s="50" t="n"/>
      <c r="B20" s="50" t="n"/>
      <c r="C20" s="50" t="n"/>
      <c r="D20" s="52" t="n"/>
      <c r="E20" s="52" t="n"/>
      <c r="F20" s="52" t="n"/>
      <c r="G20" s="52" t="n"/>
      <c r="H20" s="52" t="n"/>
      <c r="I20" s="52" t="n"/>
      <c r="J20" s="51">
        <f>IF(D20="","",D20-E20-F20-G20-H20-I20)</f>
        <v/>
      </c>
      <c r="K20" s="45">
        <f>IF(D20="","",IFERROR(J20/D20,0))</f>
        <v/>
      </c>
      <c r="L20" s="43">
        <f>IF(K20="","",IF(K20&lt;'Справочники'!$H$3,"красная",IF(K20&lt;'Справочники'!$H$2,"жёлтая","зелёная")))</f>
        <v/>
      </c>
      <c r="M20" s="28" t="n"/>
      <c r="N20" s="28" t="n"/>
      <c r="O20" s="28" t="n"/>
    </row>
    <row r="21">
      <c r="A21" s="50" t="n"/>
      <c r="B21" s="50" t="n"/>
      <c r="C21" s="50" t="n"/>
      <c r="D21" s="52" t="n"/>
      <c r="E21" s="52" t="n"/>
      <c r="F21" s="52" t="n"/>
      <c r="G21" s="52" t="n"/>
      <c r="H21" s="52" t="n"/>
      <c r="I21" s="52" t="n"/>
      <c r="J21" s="51">
        <f>IF(D21="","",D21-E21-F21-G21-H21-I21)</f>
        <v/>
      </c>
      <c r="K21" s="45">
        <f>IF(D21="","",IFERROR(J21/D21,0))</f>
        <v/>
      </c>
      <c r="L21" s="43">
        <f>IF(K21="","",IF(K21&lt;'Справочники'!$H$3,"красная",IF(K21&lt;'Справочники'!$H$2,"жёлтая","зелёная")))</f>
        <v/>
      </c>
      <c r="M21" s="28" t="n"/>
      <c r="N21" s="28" t="n"/>
      <c r="O21" s="28" t="n"/>
    </row>
    <row r="22">
      <c r="A22" s="50" t="n"/>
      <c r="B22" s="50" t="n"/>
      <c r="C22" s="50" t="n"/>
      <c r="D22" s="52" t="n"/>
      <c r="E22" s="52" t="n"/>
      <c r="F22" s="52" t="n"/>
      <c r="G22" s="52" t="n"/>
      <c r="H22" s="52" t="n"/>
      <c r="I22" s="52" t="n"/>
      <c r="J22" s="51">
        <f>IF(D22="","",D22-E22-F22-G22-H22-I22)</f>
        <v/>
      </c>
      <c r="K22" s="45">
        <f>IF(D22="","",IFERROR(J22/D22,0))</f>
        <v/>
      </c>
      <c r="L22" s="43">
        <f>IF(K22="","",IF(K22&lt;'Справочники'!$H$3,"красная",IF(K22&lt;'Справочники'!$H$2,"жёлтая","зелёная")))</f>
        <v/>
      </c>
      <c r="M22" s="28" t="n"/>
      <c r="N22" s="28" t="n"/>
      <c r="O22" s="28" t="n"/>
    </row>
    <row r="23">
      <c r="A23" s="50" t="n"/>
      <c r="B23" s="50" t="n"/>
      <c r="C23" s="50" t="n"/>
      <c r="D23" s="52" t="n"/>
      <c r="E23" s="52" t="n"/>
      <c r="F23" s="52" t="n"/>
      <c r="G23" s="52" t="n"/>
      <c r="H23" s="52" t="n"/>
      <c r="I23" s="52" t="n"/>
      <c r="J23" s="51">
        <f>IF(D23="","",D23-E23-F23-G23-H23-I23)</f>
        <v/>
      </c>
      <c r="K23" s="45">
        <f>IF(D23="","",IFERROR(J23/D23,0))</f>
        <v/>
      </c>
      <c r="L23" s="43">
        <f>IF(K23="","",IF(K23&lt;'Справочники'!$H$3,"красная",IF(K23&lt;'Справочники'!$H$2,"жёлтая","зелёная")))</f>
        <v/>
      </c>
      <c r="M23" s="28" t="n"/>
      <c r="N23" s="28" t="n"/>
      <c r="O23" s="28" t="n"/>
    </row>
    <row r="24">
      <c r="A24" s="50" t="n"/>
      <c r="B24" s="50" t="n"/>
      <c r="C24" s="50" t="n"/>
      <c r="D24" s="52" t="n"/>
      <c r="E24" s="52" t="n"/>
      <c r="F24" s="52" t="n"/>
      <c r="G24" s="52" t="n"/>
      <c r="H24" s="52" t="n"/>
      <c r="I24" s="52" t="n"/>
      <c r="J24" s="51">
        <f>IF(D24="","",D24-E24-F24-G24-H24-I24)</f>
        <v/>
      </c>
      <c r="K24" s="45">
        <f>IF(D24="","",IFERROR(J24/D24,0))</f>
        <v/>
      </c>
      <c r="L24" s="43">
        <f>IF(K24="","",IF(K24&lt;'Справочники'!$H$3,"красная",IF(K24&lt;'Справочники'!$H$2,"жёлтая","зелёная")))</f>
        <v/>
      </c>
      <c r="M24" s="28" t="n"/>
      <c r="N24" s="28" t="n"/>
      <c r="O24" s="28" t="n"/>
    </row>
    <row r="25">
      <c r="A25" s="50" t="n"/>
      <c r="B25" s="50" t="n"/>
      <c r="C25" s="50" t="n"/>
      <c r="D25" s="52" t="n"/>
      <c r="E25" s="52" t="n"/>
      <c r="F25" s="52" t="n"/>
      <c r="G25" s="52" t="n"/>
      <c r="H25" s="52" t="n"/>
      <c r="I25" s="52" t="n"/>
      <c r="J25" s="51">
        <f>IF(D25="","",D25-E25-F25-G25-H25-I25)</f>
        <v/>
      </c>
      <c r="K25" s="45">
        <f>IF(D25="","",IFERROR(J25/D25,0))</f>
        <v/>
      </c>
      <c r="L25" s="43">
        <f>IF(K25="","",IF(K25&lt;'Справочники'!$H$3,"красная",IF(K25&lt;'Справочники'!$H$2,"жёлтая","зелёная")))</f>
        <v/>
      </c>
      <c r="M25" s="28" t="n"/>
      <c r="N25" s="28" t="n"/>
      <c r="O25" s="28" t="n"/>
    </row>
    <row r="26">
      <c r="A26" s="50" t="n"/>
      <c r="B26" s="50" t="n"/>
      <c r="C26" s="50" t="n"/>
      <c r="D26" s="52" t="n"/>
      <c r="E26" s="52" t="n"/>
      <c r="F26" s="52" t="n"/>
      <c r="G26" s="52" t="n"/>
      <c r="H26" s="52" t="n"/>
      <c r="I26" s="52" t="n"/>
      <c r="J26" s="51">
        <f>IF(D26="","",D26-E26-F26-G26-H26-I26)</f>
        <v/>
      </c>
      <c r="K26" s="45">
        <f>IF(D26="","",IFERROR(J26/D26,0))</f>
        <v/>
      </c>
      <c r="L26" s="43">
        <f>IF(K26="","",IF(K26&lt;'Справочники'!$H$3,"красная",IF(K26&lt;'Справочники'!$H$2,"жёлтая","зелёная")))</f>
        <v/>
      </c>
      <c r="M26" s="28" t="n"/>
      <c r="N26" s="28" t="n"/>
      <c r="O26" s="28" t="n"/>
    </row>
    <row r="27">
      <c r="A27" s="50" t="n"/>
      <c r="B27" s="50" t="n"/>
      <c r="C27" s="50" t="n"/>
      <c r="D27" s="52" t="n"/>
      <c r="E27" s="52" t="n"/>
      <c r="F27" s="52" t="n"/>
      <c r="G27" s="52" t="n"/>
      <c r="H27" s="52" t="n"/>
      <c r="I27" s="52" t="n"/>
      <c r="J27" s="51">
        <f>IF(D27="","",D27-E27-F27-G27-H27-I27)</f>
        <v/>
      </c>
      <c r="K27" s="45">
        <f>IF(D27="","",IFERROR(J27/D27,0))</f>
        <v/>
      </c>
      <c r="L27" s="43">
        <f>IF(K27="","",IF(K27&lt;'Справочники'!$H$3,"красная",IF(K27&lt;'Справочники'!$H$2,"жёлтая","зелёная")))</f>
        <v/>
      </c>
      <c r="M27" s="28" t="n"/>
      <c r="N27" s="28" t="n"/>
      <c r="O27" s="28" t="n"/>
    </row>
    <row r="28">
      <c r="A28" s="50" t="n"/>
      <c r="B28" s="50" t="n"/>
      <c r="C28" s="50" t="n"/>
      <c r="D28" s="52" t="n"/>
      <c r="E28" s="52" t="n"/>
      <c r="F28" s="52" t="n"/>
      <c r="G28" s="52" t="n"/>
      <c r="H28" s="52" t="n"/>
      <c r="I28" s="52" t="n"/>
      <c r="J28" s="51">
        <f>IF(D28="","",D28-E28-F28-G28-H28-I28)</f>
        <v/>
      </c>
      <c r="K28" s="45">
        <f>IF(D28="","",IFERROR(J28/D28,0))</f>
        <v/>
      </c>
      <c r="L28" s="43">
        <f>IF(K28="","",IF(K28&lt;'Справочники'!$H$3,"красная",IF(K28&lt;'Справочники'!$H$2,"жёлтая","зелёная")))</f>
        <v/>
      </c>
      <c r="M28" s="28" t="n"/>
      <c r="N28" s="28" t="n"/>
      <c r="O28" s="28" t="n"/>
    </row>
    <row r="29">
      <c r="A29" s="50" t="n"/>
      <c r="B29" s="50" t="n"/>
      <c r="C29" s="50" t="n"/>
      <c r="D29" s="52" t="n"/>
      <c r="E29" s="52" t="n"/>
      <c r="F29" s="52" t="n"/>
      <c r="G29" s="52" t="n"/>
      <c r="H29" s="52" t="n"/>
      <c r="I29" s="52" t="n"/>
      <c r="J29" s="51">
        <f>IF(D29="","",D29-E29-F29-G29-H29-I29)</f>
        <v/>
      </c>
      <c r="K29" s="45">
        <f>IF(D29="","",IFERROR(J29/D29,0))</f>
        <v/>
      </c>
      <c r="L29" s="43">
        <f>IF(K29="","",IF(K29&lt;'Справочники'!$H$3,"красная",IF(K29&lt;'Справочники'!$H$2,"жёлтая","зелёная")))</f>
        <v/>
      </c>
      <c r="M29" s="28" t="n"/>
      <c r="N29" s="28" t="n"/>
      <c r="O29" s="28" t="n"/>
    </row>
    <row r="30">
      <c r="A30" s="50" t="n"/>
      <c r="B30" s="50" t="n"/>
      <c r="C30" s="50" t="n"/>
      <c r="D30" s="52" t="n"/>
      <c r="E30" s="52" t="n"/>
      <c r="F30" s="52" t="n"/>
      <c r="G30" s="52" t="n"/>
      <c r="H30" s="52" t="n"/>
      <c r="I30" s="52" t="n"/>
      <c r="J30" s="51">
        <f>IF(D30="","",D30-E30-F30-G30-H30-I30)</f>
        <v/>
      </c>
      <c r="K30" s="45">
        <f>IF(D30="","",IFERROR(J30/D30,0))</f>
        <v/>
      </c>
      <c r="L30" s="43">
        <f>IF(K30="","",IF(K30&lt;'Справочники'!$H$3,"красная",IF(K30&lt;'Справочники'!$H$2,"жёлтая","зелёная")))</f>
        <v/>
      </c>
      <c r="M30" s="28" t="n"/>
      <c r="N30" s="28" t="n"/>
      <c r="O30" s="28" t="n"/>
    </row>
    <row r="31">
      <c r="A31" s="50" t="n"/>
      <c r="B31" s="50" t="n"/>
      <c r="C31" s="50" t="n"/>
      <c r="D31" s="52" t="n"/>
      <c r="E31" s="52" t="n"/>
      <c r="F31" s="52" t="n"/>
      <c r="G31" s="52" t="n"/>
      <c r="H31" s="52" t="n"/>
      <c r="I31" s="52" t="n"/>
      <c r="J31" s="51">
        <f>IF(D31="","",D31-E31-F31-G31-H31-I31)</f>
        <v/>
      </c>
      <c r="K31" s="45">
        <f>IF(D31="","",IFERROR(J31/D31,0))</f>
        <v/>
      </c>
      <c r="L31" s="43">
        <f>IF(K31="","",IF(K31&lt;'Справочники'!$H$3,"красная",IF(K31&lt;'Справочники'!$H$2,"жёлтая","зелёная")))</f>
        <v/>
      </c>
      <c r="M31" s="28" t="n"/>
      <c r="N31" s="28" t="n"/>
      <c r="O31" s="28" t="n"/>
    </row>
    <row r="32">
      <c r="A32" s="50" t="n"/>
      <c r="B32" s="50" t="n"/>
      <c r="C32" s="50" t="n"/>
      <c r="D32" s="52" t="n"/>
      <c r="E32" s="52" t="n"/>
      <c r="F32" s="52" t="n"/>
      <c r="G32" s="52" t="n"/>
      <c r="H32" s="52" t="n"/>
      <c r="I32" s="52" t="n"/>
      <c r="J32" s="51">
        <f>IF(D32="","",D32-E32-F32-G32-H32-I32)</f>
        <v/>
      </c>
      <c r="K32" s="45">
        <f>IF(D32="","",IFERROR(J32/D32,0))</f>
        <v/>
      </c>
      <c r="L32" s="43">
        <f>IF(K32="","",IF(K32&lt;'Справочники'!$H$3,"красная",IF(K32&lt;'Справочники'!$H$2,"жёлтая","зелёная")))</f>
        <v/>
      </c>
      <c r="M32" s="28" t="n"/>
      <c r="N32" s="28" t="n"/>
      <c r="O32" s="28" t="n"/>
    </row>
    <row r="33">
      <c r="A33" s="50" t="n"/>
      <c r="B33" s="50" t="n"/>
      <c r="C33" s="50" t="n"/>
      <c r="D33" s="52" t="n"/>
      <c r="E33" s="52" t="n"/>
      <c r="F33" s="52" t="n"/>
      <c r="G33" s="52" t="n"/>
      <c r="H33" s="52" t="n"/>
      <c r="I33" s="52" t="n"/>
      <c r="J33" s="51">
        <f>IF(D33="","",D33-E33-F33-G33-H33-I33)</f>
        <v/>
      </c>
      <c r="K33" s="45">
        <f>IF(D33="","",IFERROR(J33/D33,0))</f>
        <v/>
      </c>
      <c r="L33" s="43">
        <f>IF(K33="","",IF(K33&lt;'Справочники'!$H$3,"красная",IF(K33&lt;'Справочники'!$H$2,"жёлтая","зелёная")))</f>
        <v/>
      </c>
      <c r="M33" s="28" t="n"/>
      <c r="N33" s="28" t="n"/>
      <c r="O33" s="28" t="n"/>
    </row>
    <row r="34">
      <c r="A34" s="50" t="n"/>
      <c r="B34" s="50" t="n"/>
      <c r="C34" s="50" t="n"/>
      <c r="D34" s="52" t="n"/>
      <c r="E34" s="52" t="n"/>
      <c r="F34" s="52" t="n"/>
      <c r="G34" s="52" t="n"/>
      <c r="H34" s="52" t="n"/>
      <c r="I34" s="52" t="n"/>
      <c r="J34" s="51">
        <f>IF(D34="","",D34-E34-F34-G34-H34-I34)</f>
        <v/>
      </c>
      <c r="K34" s="45">
        <f>IF(D34="","",IFERROR(J34/D34,0))</f>
        <v/>
      </c>
      <c r="L34" s="43">
        <f>IF(K34="","",IF(K34&lt;'Справочники'!$H$3,"красная",IF(K34&lt;'Справочники'!$H$2,"жёлтая","зелёная")))</f>
        <v/>
      </c>
      <c r="M34" s="28" t="n"/>
      <c r="N34" s="28" t="n"/>
      <c r="O34" s="28" t="n"/>
    </row>
    <row r="35">
      <c r="A35" s="50" t="n"/>
      <c r="B35" s="50" t="n"/>
      <c r="C35" s="50" t="n"/>
      <c r="D35" s="52" t="n"/>
      <c r="E35" s="52" t="n"/>
      <c r="F35" s="52" t="n"/>
      <c r="G35" s="52" t="n"/>
      <c r="H35" s="52" t="n"/>
      <c r="I35" s="52" t="n"/>
      <c r="J35" s="51">
        <f>IF(D35="","",D35-E35-F35-G35-H35-I35)</f>
        <v/>
      </c>
      <c r="K35" s="45">
        <f>IF(D35="","",IFERROR(J35/D35,0))</f>
        <v/>
      </c>
      <c r="L35" s="43">
        <f>IF(K35="","",IF(K35&lt;'Справочники'!$H$3,"красная",IF(K35&lt;'Справочники'!$H$2,"жёлтая","зелёная")))</f>
        <v/>
      </c>
      <c r="M35" s="28" t="n"/>
      <c r="N35" s="28" t="n"/>
      <c r="O35" s="28" t="n"/>
    </row>
    <row r="36">
      <c r="A36" s="50" t="n"/>
      <c r="B36" s="50" t="n"/>
      <c r="C36" s="50" t="n"/>
      <c r="D36" s="52" t="n"/>
      <c r="E36" s="52" t="n"/>
      <c r="F36" s="52" t="n"/>
      <c r="G36" s="52" t="n"/>
      <c r="H36" s="52" t="n"/>
      <c r="I36" s="52" t="n"/>
      <c r="J36" s="51">
        <f>IF(D36="","",D36-E36-F36-G36-H36-I36)</f>
        <v/>
      </c>
      <c r="K36" s="45">
        <f>IF(D36="","",IFERROR(J36/D36,0))</f>
        <v/>
      </c>
      <c r="L36" s="43">
        <f>IF(K36="","",IF(K36&lt;'Справочники'!$H$3,"красная",IF(K36&lt;'Справочники'!$H$2,"жёлтая","зелёная")))</f>
        <v/>
      </c>
      <c r="M36" s="28" t="n"/>
      <c r="N36" s="28" t="n"/>
      <c r="O36" s="28" t="n"/>
    </row>
    <row r="37">
      <c r="A37" s="50" t="n"/>
      <c r="B37" s="50" t="n"/>
      <c r="C37" s="50" t="n"/>
      <c r="D37" s="52" t="n"/>
      <c r="E37" s="52" t="n"/>
      <c r="F37" s="52" t="n"/>
      <c r="G37" s="52" t="n"/>
      <c r="H37" s="52" t="n"/>
      <c r="I37" s="52" t="n"/>
      <c r="J37" s="51">
        <f>IF(D37="","",D37-E37-F37-G37-H37-I37)</f>
        <v/>
      </c>
      <c r="K37" s="45">
        <f>IF(D37="","",IFERROR(J37/D37,0))</f>
        <v/>
      </c>
      <c r="L37" s="43">
        <f>IF(K37="","",IF(K37&lt;'Справочники'!$H$3,"красная",IF(K37&lt;'Справочники'!$H$2,"жёлтая","зелёная")))</f>
        <v/>
      </c>
      <c r="M37" s="28" t="n"/>
      <c r="N37" s="28" t="n"/>
      <c r="O37" s="28" t="n"/>
    </row>
    <row r="38">
      <c r="A38" s="50" t="n"/>
      <c r="B38" s="50" t="n"/>
      <c r="C38" s="50" t="n"/>
      <c r="D38" s="52" t="n"/>
      <c r="E38" s="52" t="n"/>
      <c r="F38" s="52" t="n"/>
      <c r="G38" s="52" t="n"/>
      <c r="H38" s="52" t="n"/>
      <c r="I38" s="52" t="n"/>
      <c r="J38" s="51">
        <f>IF(D38="","",D38-E38-F38-G38-H38-I38)</f>
        <v/>
      </c>
      <c r="K38" s="45">
        <f>IF(D38="","",IFERROR(J38/D38,0))</f>
        <v/>
      </c>
      <c r="L38" s="43">
        <f>IF(K38="","",IF(K38&lt;'Справочники'!$H$3,"красная",IF(K38&lt;'Справочники'!$H$2,"жёлтая","зелёная")))</f>
        <v/>
      </c>
      <c r="M38" s="28" t="n"/>
      <c r="N38" s="28" t="n"/>
      <c r="O38" s="28" t="n"/>
    </row>
    <row r="39">
      <c r="A39" s="50" t="n"/>
      <c r="B39" s="50" t="n"/>
      <c r="C39" s="50" t="n"/>
      <c r="D39" s="52" t="n"/>
      <c r="E39" s="52" t="n"/>
      <c r="F39" s="52" t="n"/>
      <c r="G39" s="52" t="n"/>
      <c r="H39" s="52" t="n"/>
      <c r="I39" s="52" t="n"/>
      <c r="J39" s="51">
        <f>IF(D39="","",D39-E39-F39-G39-H39-I39)</f>
        <v/>
      </c>
      <c r="K39" s="45">
        <f>IF(D39="","",IFERROR(J39/D39,0))</f>
        <v/>
      </c>
      <c r="L39" s="43">
        <f>IF(K39="","",IF(K39&lt;'Справочники'!$H$3,"красная",IF(K39&lt;'Справочники'!$H$2,"жёлтая","зелёная")))</f>
        <v/>
      </c>
      <c r="M39" s="28" t="n"/>
      <c r="N39" s="28" t="n"/>
      <c r="O39" s="28" t="n"/>
    </row>
    <row r="40">
      <c r="A40" s="50" t="n"/>
      <c r="B40" s="50" t="n"/>
      <c r="C40" s="50" t="n"/>
      <c r="D40" s="52" t="n"/>
      <c r="E40" s="52" t="n"/>
      <c r="F40" s="52" t="n"/>
      <c r="G40" s="52" t="n"/>
      <c r="H40" s="52" t="n"/>
      <c r="I40" s="52" t="n"/>
      <c r="J40" s="51">
        <f>IF(D40="","",D40-E40-F40-G40-H40-I40)</f>
        <v/>
      </c>
      <c r="K40" s="45">
        <f>IF(D40="","",IFERROR(J40/D40,0))</f>
        <v/>
      </c>
      <c r="L40" s="43">
        <f>IF(K40="","",IF(K40&lt;'Справочники'!$H$3,"красная",IF(K40&lt;'Справочники'!$H$2,"жёлтая","зелёная")))</f>
        <v/>
      </c>
      <c r="M40" s="28" t="n"/>
      <c r="N40" s="28" t="n"/>
      <c r="O40" s="28" t="n"/>
    </row>
    <row r="41">
      <c r="A41" s="28" t="n"/>
      <c r="B41" s="28" t="n"/>
      <c r="C41" s="28" t="n"/>
      <c r="D41" s="53" t="n"/>
      <c r="E41" s="53" t="n"/>
      <c r="F41" s="53" t="n"/>
      <c r="G41" s="53" t="n"/>
      <c r="H41" s="53" t="n"/>
      <c r="I41" s="53" t="n"/>
      <c r="J41" s="53">
        <f>IF(D41="","",D41-E41-F41-G41-H41-I41)</f>
        <v/>
      </c>
      <c r="K41" s="54">
        <f>IF(D41="","",IFERROR(J41/D41,0))</f>
        <v/>
      </c>
      <c r="L41" s="28">
        <f>IF(K41="","",IF(K41&lt;'Справочники'!$H$3,"красная",IF(K41&lt;'Справочники'!$H$2,"жёлтая","зелёная")))</f>
        <v/>
      </c>
      <c r="M41" s="28" t="n"/>
      <c r="N41" s="28" t="n"/>
      <c r="O41" s="28" t="n"/>
    </row>
    <row r="42">
      <c r="A42" s="28" t="n"/>
      <c r="B42" s="28" t="n"/>
      <c r="C42" s="28" t="n"/>
      <c r="D42" s="53" t="n"/>
      <c r="E42" s="53" t="n"/>
      <c r="F42" s="53" t="n"/>
      <c r="G42" s="53" t="n"/>
      <c r="H42" s="53" t="n"/>
      <c r="I42" s="53" t="n"/>
      <c r="J42" s="53">
        <f>IF(D42="","",D42-E42-F42-G42-H42-I42)</f>
        <v/>
      </c>
      <c r="K42" s="54">
        <f>IF(D42="","",IFERROR(J42/D42,0))</f>
        <v/>
      </c>
      <c r="L42" s="28">
        <f>IF(K42="","",IF(K42&lt;'Справочники'!$H$3,"красная",IF(K42&lt;'Справочники'!$H$2,"жёлтая","зелёная")))</f>
        <v/>
      </c>
      <c r="M42" s="28" t="n"/>
      <c r="N42" s="28" t="n"/>
      <c r="O42" s="28" t="n"/>
    </row>
    <row r="43">
      <c r="A43" s="28" t="n"/>
      <c r="B43" s="28" t="n"/>
      <c r="C43" s="28" t="n"/>
      <c r="D43" s="53" t="n"/>
      <c r="E43" s="53" t="n"/>
      <c r="F43" s="53" t="n"/>
      <c r="G43" s="53" t="n"/>
      <c r="H43" s="53" t="n"/>
      <c r="I43" s="53" t="n"/>
      <c r="J43" s="53">
        <f>IF(D43="","",D43-E43-F43-G43-H43-I43)</f>
        <v/>
      </c>
      <c r="K43" s="54">
        <f>IF(D43="","",IFERROR(J43/D43,0))</f>
        <v/>
      </c>
      <c r="L43" s="28">
        <f>IF(K43="","",IF(K43&lt;'Справочники'!$H$3,"красная",IF(K43&lt;'Справочники'!$H$2,"жёлтая","зелёная")))</f>
        <v/>
      </c>
      <c r="M43" s="28" t="n"/>
      <c r="N43" s="28" t="n"/>
      <c r="O43" s="28" t="n"/>
    </row>
    <row r="44">
      <c r="A44" s="28" t="n"/>
      <c r="B44" s="28" t="n"/>
      <c r="C44" s="28" t="n"/>
      <c r="D44" s="53" t="n"/>
      <c r="E44" s="53" t="n"/>
      <c r="F44" s="53" t="n"/>
      <c r="G44" s="53" t="n"/>
      <c r="H44" s="53" t="n"/>
      <c r="I44" s="53" t="n"/>
      <c r="J44" s="53">
        <f>IF(D44="","",D44-E44-F44-G44-H44-I44)</f>
        <v/>
      </c>
      <c r="K44" s="54">
        <f>IF(D44="","",IFERROR(J44/D44,0))</f>
        <v/>
      </c>
      <c r="L44" s="28">
        <f>IF(K44="","",IF(K44&lt;'Справочники'!$H$3,"красная",IF(K44&lt;'Справочники'!$H$2,"жёлтая","зелёная")))</f>
        <v/>
      </c>
      <c r="M44" s="28" t="n"/>
      <c r="N44" s="28" t="n"/>
      <c r="O44" s="28" t="n"/>
    </row>
    <row r="45">
      <c r="A45" s="28" t="n"/>
      <c r="B45" s="28" t="n"/>
      <c r="C45" s="28" t="n"/>
      <c r="D45" s="53" t="n"/>
      <c r="E45" s="53" t="n"/>
      <c r="F45" s="53" t="n"/>
      <c r="G45" s="53" t="n"/>
      <c r="H45" s="53" t="n"/>
      <c r="I45" s="53" t="n"/>
      <c r="J45" s="53">
        <f>IF(D45="","",D45-E45-F45-G45-H45-I45)</f>
        <v/>
      </c>
      <c r="K45" s="54">
        <f>IF(D45="","",IFERROR(J45/D45,0))</f>
        <v/>
      </c>
      <c r="L45" s="28">
        <f>IF(K45="","",IF(K45&lt;'Справочники'!$H$3,"красная",IF(K45&lt;'Справочники'!$H$2,"жёлтая","зелёная")))</f>
        <v/>
      </c>
      <c r="M45" s="28" t="n"/>
      <c r="N45" s="28" t="n"/>
      <c r="O45" s="28" t="n"/>
    </row>
    <row r="46">
      <c r="A46" s="28" t="n"/>
      <c r="B46" s="28" t="n"/>
      <c r="C46" s="28" t="n"/>
      <c r="D46" s="53" t="n"/>
      <c r="E46" s="53" t="n"/>
      <c r="F46" s="53" t="n"/>
      <c r="G46" s="53" t="n"/>
      <c r="H46" s="53" t="n"/>
      <c r="I46" s="53" t="n"/>
      <c r="J46" s="53">
        <f>IF(D46="","",D46-E46-F46-G46-H46-I46)</f>
        <v/>
      </c>
      <c r="K46" s="54">
        <f>IF(D46="","",IFERROR(J46/D46,0))</f>
        <v/>
      </c>
      <c r="L46" s="28">
        <f>IF(K46="","",IF(K46&lt;'Справочники'!$H$3,"красная",IF(K46&lt;'Справочники'!$H$2,"жёлтая","зелёная")))</f>
        <v/>
      </c>
      <c r="M46" s="28" t="n"/>
      <c r="N46" s="28" t="n"/>
      <c r="O46" s="28" t="n"/>
    </row>
    <row r="47">
      <c r="A47" s="28" t="n"/>
      <c r="B47" s="28" t="n"/>
      <c r="C47" s="28" t="n"/>
      <c r="D47" s="53" t="n"/>
      <c r="E47" s="53" t="n"/>
      <c r="F47" s="53" t="n"/>
      <c r="G47" s="53" t="n"/>
      <c r="H47" s="53" t="n"/>
      <c r="I47" s="53" t="n"/>
      <c r="J47" s="53">
        <f>IF(D47="","",D47-E47-F47-G47-H47-I47)</f>
        <v/>
      </c>
      <c r="K47" s="54">
        <f>IF(D47="","",IFERROR(J47/D47,0))</f>
        <v/>
      </c>
      <c r="L47" s="28">
        <f>IF(K47="","",IF(K47&lt;'Справочники'!$H$3,"красная",IF(K47&lt;'Справочники'!$H$2,"жёлтая","зелёная")))</f>
        <v/>
      </c>
      <c r="M47" s="28" t="n"/>
      <c r="N47" s="28" t="n"/>
      <c r="O47" s="28" t="n"/>
    </row>
    <row r="48">
      <c r="A48" s="28" t="n"/>
      <c r="B48" s="28" t="n"/>
      <c r="C48" s="28" t="n"/>
      <c r="D48" s="53" t="n"/>
      <c r="E48" s="53" t="n"/>
      <c r="F48" s="53" t="n"/>
      <c r="G48" s="53" t="n"/>
      <c r="H48" s="53" t="n"/>
      <c r="I48" s="53" t="n"/>
      <c r="J48" s="53">
        <f>IF(D48="","",D48-E48-F48-G48-H48-I48)</f>
        <v/>
      </c>
      <c r="K48" s="54">
        <f>IF(D48="","",IFERROR(J48/D48,0))</f>
        <v/>
      </c>
      <c r="L48" s="28">
        <f>IF(K48="","",IF(K48&lt;'Справочники'!$H$3,"красная",IF(K48&lt;'Справочники'!$H$2,"жёлтая","зелёная")))</f>
        <v/>
      </c>
      <c r="M48" s="28" t="n"/>
      <c r="N48" s="28" t="n"/>
      <c r="O48" s="28" t="n"/>
    </row>
    <row r="49">
      <c r="A49" s="28" t="n"/>
      <c r="B49" s="28" t="n"/>
      <c r="C49" s="28" t="n"/>
      <c r="D49" s="53" t="n"/>
      <c r="E49" s="53" t="n"/>
      <c r="F49" s="53" t="n"/>
      <c r="G49" s="53" t="n"/>
      <c r="H49" s="53" t="n"/>
      <c r="I49" s="53" t="n"/>
      <c r="J49" s="53">
        <f>IF(D49="","",D49-E49-F49-G49-H49-I49)</f>
        <v/>
      </c>
      <c r="K49" s="54">
        <f>IF(D49="","",IFERROR(J49/D49,0))</f>
        <v/>
      </c>
      <c r="L49" s="28">
        <f>IF(K49="","",IF(K49&lt;'Справочники'!$H$3,"красная",IF(K49&lt;'Справочники'!$H$2,"жёлтая","зелёная")))</f>
        <v/>
      </c>
      <c r="M49" s="28" t="n"/>
      <c r="N49" s="28" t="n"/>
      <c r="O49" s="28" t="n"/>
    </row>
    <row r="50">
      <c r="A50" s="28" t="n"/>
      <c r="B50" s="28" t="n"/>
      <c r="C50" s="28" t="n"/>
      <c r="D50" s="53" t="n"/>
      <c r="E50" s="53" t="n"/>
      <c r="F50" s="53" t="n"/>
      <c r="G50" s="53" t="n"/>
      <c r="H50" s="53" t="n"/>
      <c r="I50" s="53" t="n"/>
      <c r="J50" s="53">
        <f>IF(D50="","",D50-E50-F50-G50-H50-I50)</f>
        <v/>
      </c>
      <c r="K50" s="54">
        <f>IF(D50="","",IFERROR(J50/D50,0))</f>
        <v/>
      </c>
      <c r="L50" s="28">
        <f>IF(K50="","",IF(K50&lt;'Справочники'!$H$3,"красная",IF(K50&lt;'Справочники'!$H$2,"жёлтая","зелёная")))</f>
        <v/>
      </c>
      <c r="M50" s="28" t="n"/>
      <c r="N50" s="28" t="n"/>
      <c r="O50" s="28" t="n"/>
    </row>
    <row r="51">
      <c r="A51" s="28" t="n"/>
      <c r="B51" s="28" t="n"/>
      <c r="C51" s="28" t="n"/>
      <c r="D51" s="53" t="n"/>
      <c r="E51" s="53" t="n"/>
      <c r="F51" s="53" t="n"/>
      <c r="G51" s="53" t="n"/>
      <c r="H51" s="53" t="n"/>
      <c r="I51" s="53" t="n"/>
      <c r="J51" s="53">
        <f>IF(D51="","",D51-E51-F51-G51-H51-I51)</f>
        <v/>
      </c>
      <c r="K51" s="54">
        <f>IF(D51="","",IFERROR(J51/D51,0))</f>
        <v/>
      </c>
      <c r="L51" s="28">
        <f>IF(K51="","",IF(K51&lt;'Справочники'!$H$3,"красная",IF(K51&lt;'Справочники'!$H$2,"жёлтая","зелёная")))</f>
        <v/>
      </c>
      <c r="M51" s="28" t="n"/>
      <c r="N51" s="28" t="n"/>
      <c r="O51" s="28" t="n"/>
    </row>
    <row r="52">
      <c r="A52" s="28" t="n"/>
      <c r="B52" s="28" t="n"/>
      <c r="C52" s="28" t="n"/>
      <c r="D52" s="53" t="n"/>
      <c r="E52" s="53" t="n"/>
      <c r="F52" s="53" t="n"/>
      <c r="G52" s="53" t="n"/>
      <c r="H52" s="53" t="n"/>
      <c r="I52" s="53" t="n"/>
      <c r="J52" s="53">
        <f>IF(D52="","",D52-E52-F52-G52-H52-I52)</f>
        <v/>
      </c>
      <c r="K52" s="54">
        <f>IF(D52="","",IFERROR(J52/D52,0))</f>
        <v/>
      </c>
      <c r="L52" s="28">
        <f>IF(K52="","",IF(K52&lt;'Справочники'!$H$3,"красная",IF(K52&lt;'Справочники'!$H$2,"жёлтая","зелёная")))</f>
        <v/>
      </c>
      <c r="M52" s="28" t="n"/>
      <c r="N52" s="28" t="n"/>
      <c r="O52" s="28" t="n"/>
    </row>
    <row r="53">
      <c r="A53" s="28" t="n"/>
      <c r="B53" s="28" t="n"/>
      <c r="C53" s="28" t="n"/>
      <c r="D53" s="53" t="n"/>
      <c r="E53" s="53" t="n"/>
      <c r="F53" s="53" t="n"/>
      <c r="G53" s="53" t="n"/>
      <c r="H53" s="53" t="n"/>
      <c r="I53" s="53" t="n"/>
      <c r="J53" s="53">
        <f>IF(D53="","",D53-E53-F53-G53-H53-I53)</f>
        <v/>
      </c>
      <c r="K53" s="54">
        <f>IF(D53="","",IFERROR(J53/D53,0))</f>
        <v/>
      </c>
      <c r="L53" s="28">
        <f>IF(K53="","",IF(K53&lt;'Справочники'!$H$3,"красная",IF(K53&lt;'Справочники'!$H$2,"жёлтая","зелёная")))</f>
        <v/>
      </c>
      <c r="M53" s="28" t="n"/>
      <c r="N53" s="28" t="n"/>
      <c r="O53" s="28" t="n"/>
    </row>
    <row r="54">
      <c r="A54" s="28" t="n"/>
      <c r="B54" s="28" t="n"/>
      <c r="C54" s="28" t="n"/>
      <c r="D54" s="53" t="n"/>
      <c r="E54" s="53" t="n"/>
      <c r="F54" s="53" t="n"/>
      <c r="G54" s="53" t="n"/>
      <c r="H54" s="53" t="n"/>
      <c r="I54" s="53" t="n"/>
      <c r="J54" s="53">
        <f>IF(D54="","",D54-E54-F54-G54-H54-I54)</f>
        <v/>
      </c>
      <c r="K54" s="54">
        <f>IF(D54="","",IFERROR(J54/D54,0))</f>
        <v/>
      </c>
      <c r="L54" s="28">
        <f>IF(K54="","",IF(K54&lt;'Справочники'!$H$3,"красная",IF(K54&lt;'Справочники'!$H$2,"жёлтая","зелёная")))</f>
        <v/>
      </c>
      <c r="M54" s="28" t="n"/>
      <c r="N54" s="28" t="n"/>
      <c r="O54" s="28" t="n"/>
    </row>
    <row r="55">
      <c r="A55" s="28" t="n"/>
      <c r="B55" s="28" t="n"/>
      <c r="C55" s="28" t="n"/>
      <c r="D55" s="53" t="n"/>
      <c r="E55" s="53" t="n"/>
      <c r="F55" s="53" t="n"/>
      <c r="G55" s="53" t="n"/>
      <c r="H55" s="53" t="n"/>
      <c r="I55" s="53" t="n"/>
      <c r="J55" s="53">
        <f>IF(D55="","",D55-E55-F55-G55-H55-I55)</f>
        <v/>
      </c>
      <c r="K55" s="54">
        <f>IF(D55="","",IFERROR(J55/D55,0))</f>
        <v/>
      </c>
      <c r="L55" s="28">
        <f>IF(K55="","",IF(K55&lt;'Справочники'!$H$3,"красная",IF(K55&lt;'Справочники'!$H$2,"жёлтая","зелёная")))</f>
        <v/>
      </c>
      <c r="M55" s="28" t="n"/>
      <c r="N55" s="28" t="n"/>
      <c r="O55" s="28" t="n"/>
    </row>
    <row r="56">
      <c r="A56" s="28" t="n"/>
      <c r="B56" s="28" t="n"/>
      <c r="C56" s="28" t="n"/>
      <c r="D56" s="53" t="n"/>
      <c r="E56" s="53" t="n"/>
      <c r="F56" s="53" t="n"/>
      <c r="G56" s="53" t="n"/>
      <c r="H56" s="53" t="n"/>
      <c r="I56" s="53" t="n"/>
      <c r="J56" s="53">
        <f>IF(D56="","",D56-E56-F56-G56-H56-I56)</f>
        <v/>
      </c>
      <c r="K56" s="54">
        <f>IF(D56="","",IFERROR(J56/D56,0))</f>
        <v/>
      </c>
      <c r="L56" s="28">
        <f>IF(K56="","",IF(K56&lt;'Справочники'!$H$3,"красная",IF(K56&lt;'Справочники'!$H$2,"жёлтая","зелёная")))</f>
        <v/>
      </c>
      <c r="M56" s="28" t="n"/>
      <c r="N56" s="28" t="n"/>
      <c r="O56" s="28" t="n"/>
    </row>
    <row r="57">
      <c r="A57" s="28" t="n"/>
      <c r="B57" s="28" t="n"/>
      <c r="C57" s="28" t="n"/>
      <c r="D57" s="53" t="n"/>
      <c r="E57" s="53" t="n"/>
      <c r="F57" s="53" t="n"/>
      <c r="G57" s="53" t="n"/>
      <c r="H57" s="53" t="n"/>
      <c r="I57" s="53" t="n"/>
      <c r="J57" s="53">
        <f>IF(D57="","",D57-E57-F57-G57-H57-I57)</f>
        <v/>
      </c>
      <c r="K57" s="54">
        <f>IF(D57="","",IFERROR(J57/D57,0))</f>
        <v/>
      </c>
      <c r="L57" s="28">
        <f>IF(K57="","",IF(K57&lt;'Справочники'!$H$3,"красная",IF(K57&lt;'Справочники'!$H$2,"жёлтая","зелёная")))</f>
        <v/>
      </c>
      <c r="M57" s="28" t="n"/>
      <c r="N57" s="28" t="n"/>
      <c r="O57" s="28" t="n"/>
    </row>
    <row r="58">
      <c r="A58" s="28" t="n"/>
      <c r="B58" s="28" t="n"/>
      <c r="C58" s="28" t="n"/>
      <c r="D58" s="53" t="n"/>
      <c r="E58" s="53" t="n"/>
      <c r="F58" s="53" t="n"/>
      <c r="G58" s="53" t="n"/>
      <c r="H58" s="53" t="n"/>
      <c r="I58" s="53" t="n"/>
      <c r="J58" s="53">
        <f>IF(D58="","",D58-E58-F58-G58-H58-I58)</f>
        <v/>
      </c>
      <c r="K58" s="54">
        <f>IF(D58="","",IFERROR(J58/D58,0))</f>
        <v/>
      </c>
      <c r="L58" s="28">
        <f>IF(K58="","",IF(K58&lt;'Справочники'!$H$3,"красная",IF(K58&lt;'Справочники'!$H$2,"жёлтая","зелёная")))</f>
        <v/>
      </c>
      <c r="M58" s="28" t="n"/>
      <c r="N58" s="28" t="n"/>
      <c r="O58" s="28" t="n"/>
    </row>
    <row r="59">
      <c r="A59" s="28" t="n"/>
      <c r="B59" s="28" t="n"/>
      <c r="C59" s="28" t="n"/>
      <c r="D59" s="53" t="n"/>
      <c r="E59" s="53" t="n"/>
      <c r="F59" s="53" t="n"/>
      <c r="G59" s="53" t="n"/>
      <c r="H59" s="53" t="n"/>
      <c r="I59" s="53" t="n"/>
      <c r="J59" s="53">
        <f>IF(D59="","",D59-E59-F59-G59-H59-I59)</f>
        <v/>
      </c>
      <c r="K59" s="54">
        <f>IF(D59="","",IFERROR(J59/D59,0))</f>
        <v/>
      </c>
      <c r="L59" s="28">
        <f>IF(K59="","",IF(K59&lt;'Справочники'!$H$3,"красная",IF(K59&lt;'Справочники'!$H$2,"жёлтая","зелёная")))</f>
        <v/>
      </c>
      <c r="M59" s="28" t="n"/>
      <c r="N59" s="28" t="n"/>
      <c r="O59" s="28" t="n"/>
    </row>
    <row r="60">
      <c r="A60" s="28" t="n"/>
      <c r="B60" s="28" t="n"/>
      <c r="C60" s="28" t="n"/>
      <c r="D60" s="53" t="n"/>
      <c r="E60" s="53" t="n"/>
      <c r="F60" s="53" t="n"/>
      <c r="G60" s="53" t="n"/>
      <c r="H60" s="53" t="n"/>
      <c r="I60" s="53" t="n"/>
      <c r="J60" s="53">
        <f>IF(D60="","",D60-E60-F60-G60-H60-I60)</f>
        <v/>
      </c>
      <c r="K60" s="54">
        <f>IF(D60="","",IFERROR(J60/D60,0))</f>
        <v/>
      </c>
      <c r="L60" s="28">
        <f>IF(K60="","",IF(K60&lt;'Справочники'!$H$3,"красная",IF(K60&lt;'Справочники'!$H$2,"жёлтая","зелёная")))</f>
        <v/>
      </c>
      <c r="M60" s="28" t="n"/>
      <c r="N60" s="28" t="n"/>
      <c r="O60" s="28" t="n"/>
    </row>
    <row r="61">
      <c r="A61" s="28" t="n"/>
      <c r="B61" s="28" t="n"/>
      <c r="C61" s="28" t="n"/>
      <c r="D61" s="53" t="n"/>
      <c r="E61" s="53" t="n"/>
      <c r="F61" s="53" t="n"/>
      <c r="G61" s="53" t="n"/>
      <c r="H61" s="53" t="n"/>
      <c r="I61" s="53" t="n"/>
      <c r="J61" s="53">
        <f>IF(D61="","",D61-E61-F61-G61-H61-I61)</f>
        <v/>
      </c>
      <c r="K61" s="54">
        <f>IF(D61="","",IFERROR(J61/D61,0))</f>
        <v/>
      </c>
      <c r="L61" s="28">
        <f>IF(K61="","",IF(K61&lt;'Справочники'!$H$3,"красная",IF(K61&lt;'Справочники'!$H$2,"жёлтая","зелёная")))</f>
        <v/>
      </c>
      <c r="M61" s="28" t="n"/>
      <c r="N61" s="28" t="n"/>
      <c r="O61" s="28" t="n"/>
    </row>
    <row r="62">
      <c r="A62" s="28" t="n"/>
      <c r="B62" s="28" t="n"/>
      <c r="C62" s="28" t="n"/>
      <c r="D62" s="53" t="n"/>
      <c r="E62" s="53" t="n"/>
      <c r="F62" s="53" t="n"/>
      <c r="G62" s="53" t="n"/>
      <c r="H62" s="53" t="n"/>
      <c r="I62" s="53" t="n"/>
      <c r="J62" s="53">
        <f>IF(D62="","",D62-E62-F62-G62-H62-I62)</f>
        <v/>
      </c>
      <c r="K62" s="54">
        <f>IF(D62="","",IFERROR(J62/D62,0))</f>
        <v/>
      </c>
      <c r="L62" s="28">
        <f>IF(K62="","",IF(K62&lt;'Справочники'!$H$3,"красная",IF(K62&lt;'Справочники'!$H$2,"жёлтая","зелёная")))</f>
        <v/>
      </c>
      <c r="M62" s="28" t="n"/>
      <c r="N62" s="28" t="n"/>
      <c r="O62" s="28" t="n"/>
    </row>
    <row r="63">
      <c r="A63" s="28" t="n"/>
      <c r="B63" s="28" t="n"/>
      <c r="C63" s="28" t="n"/>
      <c r="D63" s="53" t="n"/>
      <c r="E63" s="53" t="n"/>
      <c r="F63" s="53" t="n"/>
      <c r="G63" s="53" t="n"/>
      <c r="H63" s="53" t="n"/>
      <c r="I63" s="53" t="n"/>
      <c r="J63" s="53">
        <f>IF(D63="","",D63-E63-F63-G63-H63-I63)</f>
        <v/>
      </c>
      <c r="K63" s="54">
        <f>IF(D63="","",IFERROR(J63/D63,0))</f>
        <v/>
      </c>
      <c r="L63" s="28">
        <f>IF(K63="","",IF(K63&lt;'Справочники'!$H$3,"красная",IF(K63&lt;'Справочники'!$H$2,"жёлтая","зелёная")))</f>
        <v/>
      </c>
      <c r="M63" s="28" t="n"/>
      <c r="N63" s="28" t="n"/>
      <c r="O63" s="28" t="n"/>
    </row>
    <row r="64">
      <c r="A64" s="28" t="n"/>
      <c r="B64" s="28" t="n"/>
      <c r="C64" s="28" t="n"/>
      <c r="D64" s="53" t="n"/>
      <c r="E64" s="53" t="n"/>
      <c r="F64" s="53" t="n"/>
      <c r="G64" s="53" t="n"/>
      <c r="H64" s="53" t="n"/>
      <c r="I64" s="53" t="n"/>
      <c r="J64" s="53">
        <f>IF(D64="","",D64-E64-F64-G64-H64-I64)</f>
        <v/>
      </c>
      <c r="K64" s="54">
        <f>IF(D64="","",IFERROR(J64/D64,0))</f>
        <v/>
      </c>
      <c r="L64" s="28">
        <f>IF(K64="","",IF(K64&lt;'Справочники'!$H$3,"красная",IF(K64&lt;'Справочники'!$H$2,"жёлтая","зелёная")))</f>
        <v/>
      </c>
      <c r="M64" s="28" t="n"/>
      <c r="N64" s="28" t="n"/>
      <c r="O64" s="28" t="n"/>
    </row>
    <row r="65">
      <c r="A65" s="28" t="n"/>
      <c r="B65" s="28" t="n"/>
      <c r="C65" s="28" t="n"/>
      <c r="D65" s="53" t="n"/>
      <c r="E65" s="53" t="n"/>
      <c r="F65" s="53" t="n"/>
      <c r="G65" s="53" t="n"/>
      <c r="H65" s="53" t="n"/>
      <c r="I65" s="53" t="n"/>
      <c r="J65" s="53">
        <f>IF(D65="","",D65-E65-F65-G65-H65-I65)</f>
        <v/>
      </c>
      <c r="K65" s="54">
        <f>IF(D65="","",IFERROR(J65/D65,0))</f>
        <v/>
      </c>
      <c r="L65" s="28">
        <f>IF(K65="","",IF(K65&lt;'Справочники'!$H$3,"красная",IF(K65&lt;'Справочники'!$H$2,"жёлтая","зелёная")))</f>
        <v/>
      </c>
      <c r="M65" s="28" t="n"/>
      <c r="N65" s="28" t="n"/>
      <c r="O65" s="28" t="n"/>
    </row>
    <row r="66">
      <c r="A66" s="28" t="n"/>
      <c r="B66" s="28" t="n"/>
      <c r="C66" s="28" t="n"/>
      <c r="D66" s="53" t="n"/>
      <c r="E66" s="53" t="n"/>
      <c r="F66" s="53" t="n"/>
      <c r="G66" s="53" t="n"/>
      <c r="H66" s="53" t="n"/>
      <c r="I66" s="53" t="n"/>
      <c r="J66" s="53">
        <f>IF(D66="","",D66-E66-F66-G66-H66-I66)</f>
        <v/>
      </c>
      <c r="K66" s="54">
        <f>IF(D66="","",IFERROR(J66/D66,0))</f>
        <v/>
      </c>
      <c r="L66" s="28">
        <f>IF(K66="","",IF(K66&lt;'Справочники'!$H$3,"красная",IF(K66&lt;'Справочники'!$H$2,"жёлтая","зелёная")))</f>
        <v/>
      </c>
      <c r="M66" s="28" t="n"/>
      <c r="N66" s="28" t="n"/>
      <c r="O66" s="28" t="n"/>
    </row>
    <row r="67">
      <c r="A67" s="28" t="n"/>
      <c r="B67" s="28" t="n"/>
      <c r="C67" s="28" t="n"/>
      <c r="D67" s="53" t="n"/>
      <c r="E67" s="53" t="n"/>
      <c r="F67" s="53" t="n"/>
      <c r="G67" s="53" t="n"/>
      <c r="H67" s="53" t="n"/>
      <c r="I67" s="53" t="n"/>
      <c r="J67" s="53">
        <f>IF(D67="","",D67-E67-F67-G67-H67-I67)</f>
        <v/>
      </c>
      <c r="K67" s="54">
        <f>IF(D67="","",IFERROR(J67/D67,0))</f>
        <v/>
      </c>
      <c r="L67" s="28">
        <f>IF(K67="","",IF(K67&lt;'Справочники'!$H$3,"красная",IF(K67&lt;'Справочники'!$H$2,"жёлтая","зелёная")))</f>
        <v/>
      </c>
      <c r="M67" s="28" t="n"/>
      <c r="N67" s="28" t="n"/>
      <c r="O67" s="28" t="n"/>
    </row>
    <row r="68">
      <c r="A68" s="28" t="n"/>
      <c r="B68" s="28" t="n"/>
      <c r="C68" s="28" t="n"/>
      <c r="D68" s="53" t="n"/>
      <c r="E68" s="53" t="n"/>
      <c r="F68" s="53" t="n"/>
      <c r="G68" s="53" t="n"/>
      <c r="H68" s="53" t="n"/>
      <c r="I68" s="53" t="n"/>
      <c r="J68" s="53">
        <f>IF(D68="","",D68-E68-F68-G68-H68-I68)</f>
        <v/>
      </c>
      <c r="K68" s="54">
        <f>IF(D68="","",IFERROR(J68/D68,0))</f>
        <v/>
      </c>
      <c r="L68" s="28">
        <f>IF(K68="","",IF(K68&lt;'Справочники'!$H$3,"красная",IF(K68&lt;'Справочники'!$H$2,"жёлтая","зелёная")))</f>
        <v/>
      </c>
      <c r="M68" s="28" t="n"/>
      <c r="N68" s="28" t="n"/>
      <c r="O68" s="28" t="n"/>
    </row>
    <row r="69">
      <c r="A69" s="28" t="n"/>
      <c r="B69" s="28" t="n"/>
      <c r="C69" s="28" t="n"/>
      <c r="D69" s="53" t="n"/>
      <c r="E69" s="53" t="n"/>
      <c r="F69" s="53" t="n"/>
      <c r="G69" s="53" t="n"/>
      <c r="H69" s="53" t="n"/>
      <c r="I69" s="53" t="n"/>
      <c r="J69" s="53">
        <f>IF(D69="","",D69-E69-F69-G69-H69-I69)</f>
        <v/>
      </c>
      <c r="K69" s="54">
        <f>IF(D69="","",IFERROR(J69/D69,0))</f>
        <v/>
      </c>
      <c r="L69" s="28">
        <f>IF(K69="","",IF(K69&lt;'Справочники'!$H$3,"красная",IF(K69&lt;'Справочники'!$H$2,"жёлтая","зелёная")))</f>
        <v/>
      </c>
      <c r="M69" s="28" t="n"/>
      <c r="N69" s="28" t="n"/>
      <c r="O69" s="28" t="n"/>
    </row>
    <row r="70">
      <c r="A70" s="28" t="n"/>
      <c r="B70" s="28" t="n"/>
      <c r="C70" s="28" t="n"/>
      <c r="D70" s="53" t="n"/>
      <c r="E70" s="53" t="n"/>
      <c r="F70" s="53" t="n"/>
      <c r="G70" s="53" t="n"/>
      <c r="H70" s="53" t="n"/>
      <c r="I70" s="53" t="n"/>
      <c r="J70" s="53">
        <f>IF(D70="","",D70-E70-F70-G70-H70-I70)</f>
        <v/>
      </c>
      <c r="K70" s="54">
        <f>IF(D70="","",IFERROR(J70/D70,0))</f>
        <v/>
      </c>
      <c r="L70" s="28">
        <f>IF(K70="","",IF(K70&lt;'Справочники'!$H$3,"красная",IF(K70&lt;'Справочники'!$H$2,"жёлтая","зелёная")))</f>
        <v/>
      </c>
      <c r="M70" s="28" t="n"/>
      <c r="N70" s="28" t="n"/>
      <c r="O70" s="28" t="n"/>
    </row>
    <row r="71">
      <c r="A71" s="28" t="n"/>
      <c r="B71" s="28" t="n"/>
      <c r="C71" s="28" t="n"/>
      <c r="D71" s="53" t="n"/>
      <c r="E71" s="53" t="n"/>
      <c r="F71" s="53" t="n"/>
      <c r="G71" s="53" t="n"/>
      <c r="H71" s="53" t="n"/>
      <c r="I71" s="53" t="n"/>
      <c r="J71" s="53">
        <f>IF(D71="","",D71-E71-F71-G71-H71-I71)</f>
        <v/>
      </c>
      <c r="K71" s="54">
        <f>IF(D71="","",IFERROR(J71/D71,0))</f>
        <v/>
      </c>
      <c r="L71" s="28">
        <f>IF(K71="","",IF(K71&lt;'Справочники'!$H$3,"красная",IF(K71&lt;'Справочники'!$H$2,"жёлтая","зелёная")))</f>
        <v/>
      </c>
      <c r="M71" s="28" t="n"/>
      <c r="N71" s="28" t="n"/>
      <c r="O71" s="28" t="n"/>
    </row>
    <row r="72">
      <c r="A72" s="28" t="n"/>
      <c r="B72" s="28" t="n"/>
      <c r="C72" s="28" t="n"/>
      <c r="D72" s="53" t="n"/>
      <c r="E72" s="53" t="n"/>
      <c r="F72" s="53" t="n"/>
      <c r="G72" s="53" t="n"/>
      <c r="H72" s="53" t="n"/>
      <c r="I72" s="53" t="n"/>
      <c r="J72" s="53">
        <f>IF(D72="","",D72-E72-F72-G72-H72-I72)</f>
        <v/>
      </c>
      <c r="K72" s="54">
        <f>IF(D72="","",IFERROR(J72/D72,0))</f>
        <v/>
      </c>
      <c r="L72" s="28">
        <f>IF(K72="","",IF(K72&lt;'Справочники'!$H$3,"красная",IF(K72&lt;'Справочники'!$H$2,"жёлтая","зелёная")))</f>
        <v/>
      </c>
      <c r="M72" s="28" t="n"/>
      <c r="N72" s="28" t="n"/>
      <c r="O72" s="28" t="n"/>
    </row>
    <row r="73">
      <c r="A73" s="28" t="n"/>
      <c r="B73" s="28" t="n"/>
      <c r="C73" s="28" t="n"/>
      <c r="D73" s="53" t="n"/>
      <c r="E73" s="53" t="n"/>
      <c r="F73" s="53" t="n"/>
      <c r="G73" s="53" t="n"/>
      <c r="H73" s="53" t="n"/>
      <c r="I73" s="53" t="n"/>
      <c r="J73" s="53">
        <f>IF(D73="","",D73-E73-F73-G73-H73-I73)</f>
        <v/>
      </c>
      <c r="K73" s="54">
        <f>IF(D73="","",IFERROR(J73/D73,0))</f>
        <v/>
      </c>
      <c r="L73" s="28">
        <f>IF(K73="","",IF(K73&lt;'Справочники'!$H$3,"красная",IF(K73&lt;'Справочники'!$H$2,"жёлтая","зелёная")))</f>
        <v/>
      </c>
      <c r="M73" s="28" t="n"/>
      <c r="N73" s="28" t="n"/>
      <c r="O73" s="28" t="n"/>
    </row>
    <row r="74">
      <c r="A74" s="28" t="n"/>
      <c r="B74" s="28" t="n"/>
      <c r="C74" s="28" t="n"/>
      <c r="D74" s="53" t="n"/>
      <c r="E74" s="53" t="n"/>
      <c r="F74" s="53" t="n"/>
      <c r="G74" s="53" t="n"/>
      <c r="H74" s="53" t="n"/>
      <c r="I74" s="53" t="n"/>
      <c r="J74" s="53">
        <f>IF(D74="","",D74-E74-F74-G74-H74-I74)</f>
        <v/>
      </c>
      <c r="K74" s="54">
        <f>IF(D74="","",IFERROR(J74/D74,0))</f>
        <v/>
      </c>
      <c r="L74" s="28">
        <f>IF(K74="","",IF(K74&lt;'Справочники'!$H$3,"красная",IF(K74&lt;'Справочники'!$H$2,"жёлтая","зелёная")))</f>
        <v/>
      </c>
      <c r="M74" s="28" t="n"/>
      <c r="N74" s="28" t="n"/>
      <c r="O74" s="28" t="n"/>
    </row>
    <row r="75">
      <c r="A75" s="28" t="n"/>
      <c r="B75" s="28" t="n"/>
      <c r="C75" s="28" t="n"/>
      <c r="D75" s="53" t="n"/>
      <c r="E75" s="53" t="n"/>
      <c r="F75" s="53" t="n"/>
      <c r="G75" s="53" t="n"/>
      <c r="H75" s="53" t="n"/>
      <c r="I75" s="53" t="n"/>
      <c r="J75" s="53">
        <f>IF(D75="","",D75-E75-F75-G75-H75-I75)</f>
        <v/>
      </c>
      <c r="K75" s="54">
        <f>IF(D75="","",IFERROR(J75/D75,0))</f>
        <v/>
      </c>
      <c r="L75" s="28">
        <f>IF(K75="","",IF(K75&lt;'Справочники'!$H$3,"красная",IF(K75&lt;'Справочники'!$H$2,"жёлтая","зелёная")))</f>
        <v/>
      </c>
      <c r="M75" s="28" t="n"/>
      <c r="N75" s="28" t="n"/>
      <c r="O75" s="28" t="n"/>
    </row>
    <row r="76">
      <c r="A76" s="28" t="n"/>
      <c r="B76" s="28" t="n"/>
      <c r="C76" s="28" t="n"/>
      <c r="D76" s="53" t="n"/>
      <c r="E76" s="53" t="n"/>
      <c r="F76" s="53" t="n"/>
      <c r="G76" s="53" t="n"/>
      <c r="H76" s="53" t="n"/>
      <c r="I76" s="53" t="n"/>
      <c r="J76" s="53">
        <f>IF(D76="","",D76-E76-F76-G76-H76-I76)</f>
        <v/>
      </c>
      <c r="K76" s="54">
        <f>IF(D76="","",IFERROR(J76/D76,0))</f>
        <v/>
      </c>
      <c r="L76" s="28">
        <f>IF(K76="","",IF(K76&lt;'Справочники'!$H$3,"красная",IF(K76&lt;'Справочники'!$H$2,"жёлтая","зелёная")))</f>
        <v/>
      </c>
      <c r="M76" s="28" t="n"/>
      <c r="N76" s="28" t="n"/>
      <c r="O76" s="28" t="n"/>
    </row>
    <row r="77">
      <c r="A77" s="28" t="n"/>
      <c r="B77" s="28" t="n"/>
      <c r="C77" s="28" t="n"/>
      <c r="D77" s="53" t="n"/>
      <c r="E77" s="53" t="n"/>
      <c r="F77" s="53" t="n"/>
      <c r="G77" s="53" t="n"/>
      <c r="H77" s="53" t="n"/>
      <c r="I77" s="53" t="n"/>
      <c r="J77" s="53">
        <f>IF(D77="","",D77-E77-F77-G77-H77-I77)</f>
        <v/>
      </c>
      <c r="K77" s="54">
        <f>IF(D77="","",IFERROR(J77/D77,0))</f>
        <v/>
      </c>
      <c r="L77" s="28">
        <f>IF(K77="","",IF(K77&lt;'Справочники'!$H$3,"красная",IF(K77&lt;'Справочники'!$H$2,"жёлтая","зелёная")))</f>
        <v/>
      </c>
      <c r="M77" s="28" t="n"/>
      <c r="N77" s="28" t="n"/>
      <c r="O77" s="28" t="n"/>
    </row>
    <row r="78">
      <c r="A78" s="28" t="n"/>
      <c r="B78" s="28" t="n"/>
      <c r="C78" s="28" t="n"/>
      <c r="D78" s="53" t="n"/>
      <c r="E78" s="53" t="n"/>
      <c r="F78" s="53" t="n"/>
      <c r="G78" s="53" t="n"/>
      <c r="H78" s="53" t="n"/>
      <c r="I78" s="53" t="n"/>
      <c r="J78" s="53">
        <f>IF(D78="","",D78-E78-F78-G78-H78-I78)</f>
        <v/>
      </c>
      <c r="K78" s="54">
        <f>IF(D78="","",IFERROR(J78/D78,0))</f>
        <v/>
      </c>
      <c r="L78" s="28">
        <f>IF(K78="","",IF(K78&lt;'Справочники'!$H$3,"красная",IF(K78&lt;'Справочники'!$H$2,"жёлтая","зелёная")))</f>
        <v/>
      </c>
      <c r="M78" s="28" t="n"/>
      <c r="N78" s="28" t="n"/>
      <c r="O78" s="28" t="n"/>
    </row>
    <row r="79">
      <c r="A79" s="28" t="n"/>
      <c r="B79" s="28" t="n"/>
      <c r="C79" s="28" t="n"/>
      <c r="D79" s="53" t="n"/>
      <c r="E79" s="53" t="n"/>
      <c r="F79" s="53" t="n"/>
      <c r="G79" s="53" t="n"/>
      <c r="H79" s="53" t="n"/>
      <c r="I79" s="53" t="n"/>
      <c r="J79" s="53">
        <f>IF(D79="","",D79-E79-F79-G79-H79-I79)</f>
        <v/>
      </c>
      <c r="K79" s="54">
        <f>IF(D79="","",IFERROR(J79/D79,0))</f>
        <v/>
      </c>
      <c r="L79" s="28">
        <f>IF(K79="","",IF(K79&lt;'Справочники'!$H$3,"красная",IF(K79&lt;'Справочники'!$H$2,"жёлтая","зелёная")))</f>
        <v/>
      </c>
      <c r="M79" s="28" t="n"/>
      <c r="N79" s="28" t="n"/>
      <c r="O79" s="28" t="n"/>
    </row>
    <row r="80">
      <c r="A80" s="28" t="n"/>
      <c r="B80" s="28" t="n"/>
      <c r="C80" s="28" t="n"/>
      <c r="D80" s="53" t="n"/>
      <c r="E80" s="53" t="n"/>
      <c r="F80" s="53" t="n"/>
      <c r="G80" s="53" t="n"/>
      <c r="H80" s="53" t="n"/>
      <c r="I80" s="53" t="n"/>
      <c r="J80" s="53">
        <f>IF(D80="","",D80-E80-F80-G80-H80-I80)</f>
        <v/>
      </c>
      <c r="K80" s="54">
        <f>IF(D80="","",IFERROR(J80/D80,0))</f>
        <v/>
      </c>
      <c r="L80" s="28">
        <f>IF(K80="","",IF(K80&lt;'Справочники'!$H$3,"красная",IF(K80&lt;'Справочники'!$H$2,"жёлтая","зелёная")))</f>
        <v/>
      </c>
      <c r="M80" s="28" t="n"/>
      <c r="N80" s="28" t="n"/>
      <c r="O80" s="28" t="n"/>
    </row>
    <row r="81">
      <c r="A81" s="28" t="n"/>
      <c r="B81" s="28" t="n"/>
      <c r="C81" s="28" t="n"/>
      <c r="D81" s="53" t="n"/>
      <c r="E81" s="53" t="n"/>
      <c r="F81" s="53" t="n"/>
      <c r="G81" s="53" t="n"/>
      <c r="H81" s="53" t="n"/>
      <c r="I81" s="53" t="n"/>
      <c r="J81" s="53">
        <f>IF(D81="","",D81-E81-F81-G81-H81-I81)</f>
        <v/>
      </c>
      <c r="K81" s="54">
        <f>IF(D81="","",IFERROR(J81/D81,0))</f>
        <v/>
      </c>
      <c r="L81" s="28">
        <f>IF(K81="","",IF(K81&lt;'Справочники'!$H$3,"красная",IF(K81&lt;'Справочники'!$H$2,"жёлтая","зелёная")))</f>
        <v/>
      </c>
      <c r="M81" s="28" t="n"/>
      <c r="N81" s="28" t="n"/>
      <c r="O81" s="28" t="n"/>
    </row>
    <row r="82">
      <c r="A82" s="28" t="n"/>
      <c r="B82" s="28" t="n"/>
      <c r="C82" s="28" t="n"/>
      <c r="D82" s="53" t="n"/>
      <c r="E82" s="53" t="n"/>
      <c r="F82" s="53" t="n"/>
      <c r="G82" s="53" t="n"/>
      <c r="H82" s="53" t="n"/>
      <c r="I82" s="53" t="n"/>
      <c r="J82" s="53">
        <f>IF(D82="","",D82-E82-F82-G82-H82-I82)</f>
        <v/>
      </c>
      <c r="K82" s="54">
        <f>IF(D82="","",IFERROR(J82/D82,0))</f>
        <v/>
      </c>
      <c r="L82" s="28">
        <f>IF(K82="","",IF(K82&lt;'Справочники'!$H$3,"красная",IF(K82&lt;'Справочники'!$H$2,"жёлтая","зелёная")))</f>
        <v/>
      </c>
      <c r="M82" s="28" t="n"/>
      <c r="N82" s="28" t="n"/>
      <c r="O82" s="28" t="n"/>
    </row>
    <row r="83">
      <c r="A83" s="28" t="n"/>
      <c r="B83" s="28" t="n"/>
      <c r="C83" s="28" t="n"/>
      <c r="D83" s="53" t="n"/>
      <c r="E83" s="53" t="n"/>
      <c r="F83" s="53" t="n"/>
      <c r="G83" s="53" t="n"/>
      <c r="H83" s="53" t="n"/>
      <c r="I83" s="53" t="n"/>
      <c r="J83" s="53">
        <f>IF(D83="","",D83-E83-F83-G83-H83-I83)</f>
        <v/>
      </c>
      <c r="K83" s="54">
        <f>IF(D83="","",IFERROR(J83/D83,0))</f>
        <v/>
      </c>
      <c r="L83" s="28">
        <f>IF(K83="","",IF(K83&lt;'Справочники'!$H$3,"красная",IF(K83&lt;'Справочники'!$H$2,"жёлтая","зелёная")))</f>
        <v/>
      </c>
      <c r="M83" s="28" t="n"/>
      <c r="N83" s="28" t="n"/>
      <c r="O83" s="28" t="n"/>
    </row>
    <row r="84">
      <c r="A84" s="28" t="n"/>
      <c r="B84" s="28" t="n"/>
      <c r="C84" s="28" t="n"/>
      <c r="D84" s="53" t="n"/>
      <c r="E84" s="53" t="n"/>
      <c r="F84" s="53" t="n"/>
      <c r="G84" s="53" t="n"/>
      <c r="H84" s="53" t="n"/>
      <c r="I84" s="53" t="n"/>
      <c r="J84" s="53">
        <f>IF(D84="","",D84-E84-F84-G84-H84-I84)</f>
        <v/>
      </c>
      <c r="K84" s="54">
        <f>IF(D84="","",IFERROR(J84/D84,0))</f>
        <v/>
      </c>
      <c r="L84" s="28">
        <f>IF(K84="","",IF(K84&lt;'Справочники'!$H$3,"красная",IF(K84&lt;'Справочники'!$H$2,"жёлтая","зелёная")))</f>
        <v/>
      </c>
      <c r="M84" s="28" t="n"/>
      <c r="N84" s="28" t="n"/>
      <c r="O84" s="28" t="n"/>
    </row>
    <row r="85">
      <c r="A85" s="28" t="n"/>
      <c r="B85" s="28" t="n"/>
      <c r="C85" s="28" t="n"/>
      <c r="D85" s="53" t="n"/>
      <c r="E85" s="53" t="n"/>
      <c r="F85" s="53" t="n"/>
      <c r="G85" s="53" t="n"/>
      <c r="H85" s="53" t="n"/>
      <c r="I85" s="53" t="n"/>
      <c r="J85" s="53">
        <f>IF(D85="","",D85-E85-F85-G85-H85-I85)</f>
        <v/>
      </c>
      <c r="K85" s="54">
        <f>IF(D85="","",IFERROR(J85/D85,0))</f>
        <v/>
      </c>
      <c r="L85" s="28">
        <f>IF(K85="","",IF(K85&lt;'Справочники'!$H$3,"красная",IF(K85&lt;'Справочники'!$H$2,"жёлтая","зелёная")))</f>
        <v/>
      </c>
      <c r="M85" s="28" t="n"/>
      <c r="N85" s="28" t="n"/>
      <c r="O85" s="28" t="n"/>
    </row>
    <row r="86">
      <c r="A86" s="28" t="n"/>
      <c r="B86" s="28" t="n"/>
      <c r="C86" s="28" t="n"/>
      <c r="D86" s="53" t="n"/>
      <c r="E86" s="53" t="n"/>
      <c r="F86" s="53" t="n"/>
      <c r="G86" s="53" t="n"/>
      <c r="H86" s="53" t="n"/>
      <c r="I86" s="53" t="n"/>
      <c r="J86" s="53">
        <f>IF(D86="","",D86-E86-F86-G86-H86-I86)</f>
        <v/>
      </c>
      <c r="K86" s="54">
        <f>IF(D86="","",IFERROR(J86/D86,0))</f>
        <v/>
      </c>
      <c r="L86" s="28">
        <f>IF(K86="","",IF(K86&lt;'Справочники'!$H$3,"красная",IF(K86&lt;'Справочники'!$H$2,"жёлтая","зелёная")))</f>
        <v/>
      </c>
      <c r="M86" s="28" t="n"/>
      <c r="N86" s="28" t="n"/>
      <c r="O86" s="28" t="n"/>
    </row>
    <row r="87">
      <c r="A87" s="28" t="n"/>
      <c r="B87" s="28" t="n"/>
      <c r="C87" s="28" t="n"/>
      <c r="D87" s="53" t="n"/>
      <c r="E87" s="53" t="n"/>
      <c r="F87" s="53" t="n"/>
      <c r="G87" s="53" t="n"/>
      <c r="H87" s="53" t="n"/>
      <c r="I87" s="53" t="n"/>
      <c r="J87" s="53">
        <f>IF(D87="","",D87-E87-F87-G87-H87-I87)</f>
        <v/>
      </c>
      <c r="K87" s="54">
        <f>IF(D87="","",IFERROR(J87/D87,0))</f>
        <v/>
      </c>
      <c r="L87" s="28">
        <f>IF(K87="","",IF(K87&lt;'Справочники'!$H$3,"красная",IF(K87&lt;'Справочники'!$H$2,"жёлтая","зелёная")))</f>
        <v/>
      </c>
      <c r="M87" s="28" t="n"/>
      <c r="N87" s="28" t="n"/>
      <c r="O87" s="28" t="n"/>
    </row>
    <row r="88">
      <c r="A88" s="28" t="n"/>
      <c r="B88" s="28" t="n"/>
      <c r="C88" s="28" t="n"/>
      <c r="D88" s="53" t="n"/>
      <c r="E88" s="53" t="n"/>
      <c r="F88" s="53" t="n"/>
      <c r="G88" s="53" t="n"/>
      <c r="H88" s="53" t="n"/>
      <c r="I88" s="53" t="n"/>
      <c r="J88" s="53">
        <f>IF(D88="","",D88-E88-F88-G88-H88-I88)</f>
        <v/>
      </c>
      <c r="K88" s="54">
        <f>IF(D88="","",IFERROR(J88/D88,0))</f>
        <v/>
      </c>
      <c r="L88" s="28">
        <f>IF(K88="","",IF(K88&lt;'Справочники'!$H$3,"красная",IF(K88&lt;'Справочники'!$H$2,"жёлтая","зелёная")))</f>
        <v/>
      </c>
      <c r="M88" s="28" t="n"/>
      <c r="N88" s="28" t="n"/>
      <c r="O88" s="28" t="n"/>
    </row>
    <row r="89">
      <c r="A89" s="28" t="n"/>
      <c r="B89" s="28" t="n"/>
      <c r="C89" s="28" t="n"/>
      <c r="D89" s="53" t="n"/>
      <c r="E89" s="53" t="n"/>
      <c r="F89" s="53" t="n"/>
      <c r="G89" s="53" t="n"/>
      <c r="H89" s="53" t="n"/>
      <c r="I89" s="53" t="n"/>
      <c r="J89" s="53">
        <f>IF(D89="","",D89-E89-F89-G89-H89-I89)</f>
        <v/>
      </c>
      <c r="K89" s="54">
        <f>IF(D89="","",IFERROR(J89/D89,0))</f>
        <v/>
      </c>
      <c r="L89" s="28">
        <f>IF(K89="","",IF(K89&lt;'Справочники'!$H$3,"красная",IF(K89&lt;'Справочники'!$H$2,"жёлтая","зелёная")))</f>
        <v/>
      </c>
      <c r="M89" s="28" t="n"/>
      <c r="N89" s="28" t="n"/>
      <c r="O89" s="28" t="n"/>
    </row>
    <row r="90">
      <c r="A90" s="28" t="n"/>
      <c r="B90" s="28" t="n"/>
      <c r="C90" s="28" t="n"/>
      <c r="D90" s="53" t="n"/>
      <c r="E90" s="53" t="n"/>
      <c r="F90" s="53" t="n"/>
      <c r="G90" s="53" t="n"/>
      <c r="H90" s="53" t="n"/>
      <c r="I90" s="53" t="n"/>
      <c r="J90" s="53">
        <f>IF(D90="","",D90-E90-F90-G90-H90-I90)</f>
        <v/>
      </c>
      <c r="K90" s="54">
        <f>IF(D90="","",IFERROR(J90/D90,0))</f>
        <v/>
      </c>
      <c r="L90" s="28">
        <f>IF(K90="","",IF(K90&lt;'Справочники'!$H$3,"красная",IF(K90&lt;'Справочники'!$H$2,"жёлтая","зелёная")))</f>
        <v/>
      </c>
      <c r="M90" s="28" t="n"/>
      <c r="N90" s="28" t="n"/>
      <c r="O90" s="28" t="n"/>
    </row>
    <row r="91">
      <c r="A91" s="28" t="n"/>
      <c r="B91" s="28" t="n"/>
      <c r="C91" s="28" t="n"/>
      <c r="D91" s="53" t="n"/>
      <c r="E91" s="53" t="n"/>
      <c r="F91" s="53" t="n"/>
      <c r="G91" s="53" t="n"/>
      <c r="H91" s="53" t="n"/>
      <c r="I91" s="53" t="n"/>
      <c r="J91" s="53">
        <f>IF(D91="","",D91-E91-F91-G91-H91-I91)</f>
        <v/>
      </c>
      <c r="K91" s="54">
        <f>IF(D91="","",IFERROR(J91/D91,0))</f>
        <v/>
      </c>
      <c r="L91" s="28">
        <f>IF(K91="","",IF(K91&lt;'Справочники'!$H$3,"красная",IF(K91&lt;'Справочники'!$H$2,"жёлтая","зелёная")))</f>
        <v/>
      </c>
      <c r="M91" s="28" t="n"/>
      <c r="N91" s="28" t="n"/>
      <c r="O91" s="28" t="n"/>
    </row>
    <row r="92">
      <c r="A92" s="28" t="n"/>
      <c r="B92" s="28" t="n"/>
      <c r="C92" s="28" t="n"/>
      <c r="D92" s="53" t="n"/>
      <c r="E92" s="53" t="n"/>
      <c r="F92" s="53" t="n"/>
      <c r="G92" s="53" t="n"/>
      <c r="H92" s="53" t="n"/>
      <c r="I92" s="53" t="n"/>
      <c r="J92" s="53">
        <f>IF(D92="","",D92-E92-F92-G92-H92-I92)</f>
        <v/>
      </c>
      <c r="K92" s="54">
        <f>IF(D92="","",IFERROR(J92/D92,0))</f>
        <v/>
      </c>
      <c r="L92" s="28">
        <f>IF(K92="","",IF(K92&lt;'Справочники'!$H$3,"красная",IF(K92&lt;'Справочники'!$H$2,"жёлтая","зелёная")))</f>
        <v/>
      </c>
      <c r="M92" s="28" t="n"/>
      <c r="N92" s="28" t="n"/>
      <c r="O92" s="28" t="n"/>
    </row>
    <row r="93">
      <c r="A93" s="28" t="n"/>
      <c r="B93" s="28" t="n"/>
      <c r="C93" s="28" t="n"/>
      <c r="D93" s="53" t="n"/>
      <c r="E93" s="53" t="n"/>
      <c r="F93" s="53" t="n"/>
      <c r="G93" s="53" t="n"/>
      <c r="H93" s="53" t="n"/>
      <c r="I93" s="53" t="n"/>
      <c r="J93" s="53">
        <f>IF(D93="","",D93-E93-F93-G93-H93-I93)</f>
        <v/>
      </c>
      <c r="K93" s="54">
        <f>IF(D93="","",IFERROR(J93/D93,0))</f>
        <v/>
      </c>
      <c r="L93" s="28">
        <f>IF(K93="","",IF(K93&lt;'Справочники'!$H$3,"красная",IF(K93&lt;'Справочники'!$H$2,"жёлтая","зелёная")))</f>
        <v/>
      </c>
      <c r="M93" s="28" t="n"/>
      <c r="N93" s="28" t="n"/>
      <c r="O93" s="28" t="n"/>
    </row>
    <row r="94">
      <c r="A94" s="28" t="n"/>
      <c r="B94" s="28" t="n"/>
      <c r="C94" s="28" t="n"/>
      <c r="D94" s="53" t="n"/>
      <c r="E94" s="53" t="n"/>
      <c r="F94" s="53" t="n"/>
      <c r="G94" s="53" t="n"/>
      <c r="H94" s="53" t="n"/>
      <c r="I94" s="53" t="n"/>
      <c r="J94" s="53">
        <f>IF(D94="","",D94-E94-F94-G94-H94-I94)</f>
        <v/>
      </c>
      <c r="K94" s="54">
        <f>IF(D94="","",IFERROR(J94/D94,0))</f>
        <v/>
      </c>
      <c r="L94" s="28">
        <f>IF(K94="","",IF(K94&lt;'Справочники'!$H$3,"красная",IF(K94&lt;'Справочники'!$H$2,"жёлтая","зелёная")))</f>
        <v/>
      </c>
      <c r="M94" s="28" t="n"/>
      <c r="N94" s="28" t="n"/>
      <c r="O94" s="28" t="n"/>
    </row>
    <row r="95">
      <c r="A95" s="28" t="n"/>
      <c r="B95" s="28" t="n"/>
      <c r="C95" s="28" t="n"/>
      <c r="D95" s="53" t="n"/>
      <c r="E95" s="53" t="n"/>
      <c r="F95" s="53" t="n"/>
      <c r="G95" s="53" t="n"/>
      <c r="H95" s="53" t="n"/>
      <c r="I95" s="53" t="n"/>
      <c r="J95" s="53">
        <f>IF(D95="","",D95-E95-F95-G95-H95-I95)</f>
        <v/>
      </c>
      <c r="K95" s="54">
        <f>IF(D95="","",IFERROR(J95/D95,0))</f>
        <v/>
      </c>
      <c r="L95" s="28">
        <f>IF(K95="","",IF(K95&lt;'Справочники'!$H$3,"красная",IF(K95&lt;'Справочники'!$H$2,"жёлтая","зелёная")))</f>
        <v/>
      </c>
      <c r="M95" s="28" t="n"/>
      <c r="N95" s="28" t="n"/>
      <c r="O95" s="28" t="n"/>
    </row>
    <row r="96">
      <c r="A96" s="28" t="n"/>
      <c r="B96" s="28" t="n"/>
      <c r="C96" s="28" t="n"/>
      <c r="D96" s="53" t="n"/>
      <c r="E96" s="53" t="n"/>
      <c r="F96" s="53" t="n"/>
      <c r="G96" s="53" t="n"/>
      <c r="H96" s="53" t="n"/>
      <c r="I96" s="53" t="n"/>
      <c r="J96" s="53">
        <f>IF(D96="","",D96-E96-F96-G96-H96-I96)</f>
        <v/>
      </c>
      <c r="K96" s="54">
        <f>IF(D96="","",IFERROR(J96/D96,0))</f>
        <v/>
      </c>
      <c r="L96" s="28">
        <f>IF(K96="","",IF(K96&lt;'Справочники'!$H$3,"красная",IF(K96&lt;'Справочники'!$H$2,"жёлтая","зелёная")))</f>
        <v/>
      </c>
      <c r="M96" s="28" t="n"/>
      <c r="N96" s="28" t="n"/>
      <c r="O96" s="28" t="n"/>
    </row>
    <row r="97">
      <c r="A97" s="28" t="n"/>
      <c r="B97" s="28" t="n"/>
      <c r="C97" s="28" t="n"/>
      <c r="D97" s="53" t="n"/>
      <c r="E97" s="53" t="n"/>
      <c r="F97" s="53" t="n"/>
      <c r="G97" s="53" t="n"/>
      <c r="H97" s="53" t="n"/>
      <c r="I97" s="53" t="n"/>
      <c r="J97" s="53">
        <f>IF(D97="","",D97-E97-F97-G97-H97-I97)</f>
        <v/>
      </c>
      <c r="K97" s="54">
        <f>IF(D97="","",IFERROR(J97/D97,0))</f>
        <v/>
      </c>
      <c r="L97" s="28">
        <f>IF(K97="","",IF(K97&lt;'Справочники'!$H$3,"красная",IF(K97&lt;'Справочники'!$H$2,"жёлтая","зелёная")))</f>
        <v/>
      </c>
      <c r="M97" s="28" t="n"/>
      <c r="N97" s="28" t="n"/>
      <c r="O97" s="28" t="n"/>
    </row>
    <row r="98">
      <c r="A98" s="28" t="n"/>
      <c r="B98" s="28" t="n"/>
      <c r="C98" s="28" t="n"/>
      <c r="D98" s="53" t="n"/>
      <c r="E98" s="53" t="n"/>
      <c r="F98" s="53" t="n"/>
      <c r="G98" s="53" t="n"/>
      <c r="H98" s="53" t="n"/>
      <c r="I98" s="53" t="n"/>
      <c r="J98" s="53">
        <f>IF(D98="","",D98-E98-F98-G98-H98-I98)</f>
        <v/>
      </c>
      <c r="K98" s="54">
        <f>IF(D98="","",IFERROR(J98/D98,0))</f>
        <v/>
      </c>
      <c r="L98" s="28">
        <f>IF(K98="","",IF(K98&lt;'Справочники'!$H$3,"красная",IF(K98&lt;'Справочники'!$H$2,"жёлтая","зелёная")))</f>
        <v/>
      </c>
      <c r="M98" s="28" t="n"/>
      <c r="N98" s="28" t="n"/>
      <c r="O98" s="28" t="n"/>
    </row>
    <row r="99">
      <c r="A99" s="28" t="n"/>
      <c r="B99" s="28" t="n"/>
      <c r="C99" s="28" t="n"/>
      <c r="D99" s="53" t="n"/>
      <c r="E99" s="53" t="n"/>
      <c r="F99" s="53" t="n"/>
      <c r="G99" s="53" t="n"/>
      <c r="H99" s="53" t="n"/>
      <c r="I99" s="53" t="n"/>
      <c r="J99" s="53">
        <f>IF(D99="","",D99-E99-F99-G99-H99-I99)</f>
        <v/>
      </c>
      <c r="K99" s="54">
        <f>IF(D99="","",IFERROR(J99/D99,0))</f>
        <v/>
      </c>
      <c r="L99" s="28">
        <f>IF(K99="","",IF(K99&lt;'Справочники'!$H$3,"красная",IF(K99&lt;'Справочники'!$H$2,"жёлтая","зелёная")))</f>
        <v/>
      </c>
      <c r="M99" s="28" t="n"/>
      <c r="N99" s="28" t="n"/>
      <c r="O99" s="28" t="n"/>
    </row>
    <row r="100">
      <c r="A100" s="28" t="n"/>
      <c r="B100" s="28" t="n"/>
      <c r="C100" s="28" t="n"/>
      <c r="D100" s="53" t="n"/>
      <c r="E100" s="53" t="n"/>
      <c r="F100" s="53" t="n"/>
      <c r="G100" s="53" t="n"/>
      <c r="H100" s="53" t="n"/>
      <c r="I100" s="53" t="n"/>
      <c r="J100" s="53">
        <f>IF(D100="","",D100-E100-F100-G100-H100-I100)</f>
        <v/>
      </c>
      <c r="K100" s="54">
        <f>IF(D100="","",IFERROR(J100/D100,0))</f>
        <v/>
      </c>
      <c r="L100" s="28">
        <f>IF(K100="","",IF(K100&lt;'Справочники'!$H$3,"красная",IF(K100&lt;'Справочники'!$H$2,"жёлтая","зелёная")))</f>
        <v/>
      </c>
      <c r="M100" s="28" t="n"/>
      <c r="N100" s="28" t="n"/>
      <c r="O100" s="28" t="n"/>
    </row>
    <row r="101">
      <c r="A101" s="28" t="n"/>
      <c r="B101" s="28" t="n"/>
      <c r="C101" s="28" t="n"/>
      <c r="D101" s="53" t="n"/>
      <c r="E101" s="53" t="n"/>
      <c r="F101" s="53" t="n"/>
      <c r="G101" s="53" t="n"/>
      <c r="H101" s="53" t="n"/>
      <c r="I101" s="53" t="n"/>
      <c r="J101" s="53">
        <f>IF(D101="","",D101-E101-F101-G101-H101-I101)</f>
        <v/>
      </c>
      <c r="K101" s="54">
        <f>IF(D101="","",IFERROR(J101/D101,0))</f>
        <v/>
      </c>
      <c r="L101" s="28">
        <f>IF(K101="","",IF(K101&lt;'Справочники'!$H$3,"красная",IF(K101&lt;'Справочники'!$H$2,"жёлтая","зелёная")))</f>
        <v/>
      </c>
      <c r="M101" s="28" t="n"/>
      <c r="N101" s="28" t="n"/>
      <c r="O101" s="28" t="n"/>
    </row>
    <row r="102">
      <c r="A102" s="28" t="n"/>
      <c r="B102" s="28" t="n"/>
      <c r="C102" s="28" t="n"/>
      <c r="D102" s="53" t="n"/>
      <c r="E102" s="53" t="n"/>
      <c r="F102" s="53" t="n"/>
      <c r="G102" s="53" t="n"/>
      <c r="H102" s="53" t="n"/>
      <c r="I102" s="53" t="n"/>
      <c r="J102" s="53">
        <f>IF(D102="","",D102-E102-F102-G102-H102-I102)</f>
        <v/>
      </c>
      <c r="K102" s="54">
        <f>IF(D102="","",IFERROR(J102/D102,0))</f>
        <v/>
      </c>
      <c r="L102" s="28">
        <f>IF(K102="","",IF(K102&lt;'Справочники'!$H$3,"красная",IF(K102&lt;'Справочники'!$H$2,"жёлтая","зелёная")))</f>
        <v/>
      </c>
      <c r="M102" s="28" t="n"/>
      <c r="N102" s="28" t="n"/>
      <c r="O102" s="28" t="n"/>
    </row>
    <row r="103">
      <c r="A103" s="28" t="n"/>
      <c r="B103" s="28" t="n"/>
      <c r="C103" s="28" t="n"/>
      <c r="D103" s="53" t="n"/>
      <c r="E103" s="53" t="n"/>
      <c r="F103" s="53" t="n"/>
      <c r="G103" s="53" t="n"/>
      <c r="H103" s="53" t="n"/>
      <c r="I103" s="53" t="n"/>
      <c r="J103" s="53">
        <f>IF(D103="","",D103-E103-F103-G103-H103-I103)</f>
        <v/>
      </c>
      <c r="K103" s="54">
        <f>IF(D103="","",IFERROR(J103/D103,0))</f>
        <v/>
      </c>
      <c r="L103" s="28">
        <f>IF(K103="","",IF(K103&lt;'Справочники'!$H$3,"красная",IF(K103&lt;'Справочники'!$H$2,"жёлтая","зелёная")))</f>
        <v/>
      </c>
      <c r="M103" s="28" t="n"/>
      <c r="N103" s="28" t="n"/>
      <c r="O103" s="28" t="n"/>
    </row>
    <row r="104">
      <c r="A104" s="28" t="n"/>
      <c r="B104" s="28" t="n"/>
      <c r="C104" s="28" t="n"/>
      <c r="D104" s="53" t="n"/>
      <c r="E104" s="53" t="n"/>
      <c r="F104" s="53" t="n"/>
      <c r="G104" s="53" t="n"/>
      <c r="H104" s="53" t="n"/>
      <c r="I104" s="53" t="n"/>
      <c r="J104" s="53">
        <f>IF(D104="","",D104-E104-F104-G104-H104-I104)</f>
        <v/>
      </c>
      <c r="K104" s="54">
        <f>IF(D104="","",IFERROR(J104/D104,0))</f>
        <v/>
      </c>
      <c r="L104" s="28">
        <f>IF(K104="","",IF(K104&lt;'Справочники'!$H$3,"красная",IF(K104&lt;'Справочники'!$H$2,"жёлтая","зелёная")))</f>
        <v/>
      </c>
      <c r="M104" s="28" t="n"/>
      <c r="N104" s="28" t="n"/>
      <c r="O104" s="28" t="n"/>
    </row>
  </sheetData>
  <conditionalFormatting sqref="L5:L104">
    <cfRule type="containsText" priority="1" operator="containsText" dxfId="0" text="красная"/>
    <cfRule type="containsText" priority="2" operator="containsText" dxfId="1" text="жёлтая"/>
    <cfRule type="containsText" priority="3" operator="containsText" dxfId="2" text="зелёная"/>
  </conditionalFormatting>
  <conditionalFormatting sqref="M5:M104">
    <cfRule type="containsText" priority="4" operator="containsText" dxfId="2" text="подтверждено"/>
    <cfRule type="containsText" priority="5" operator="containsText" dxfId="1" text="требует проверки"/>
    <cfRule type="containsText" priority="6" operator="containsText" dxfId="0" text="не подтверждено"/>
  </conditionalFormatting>
  <dataValidations count="1">
    <dataValidation sqref="M5:M104" showDropDown="0" showInputMessage="0" showErrorMessage="0" allowBlank="0" type="list">
      <formula1>"подтверждено,требует проверки,не подтверждено"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6AA84F"/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1" min="1" max="1"/>
    <col width="14" customWidth="1" style="1" min="2" max="2"/>
    <col width="14" customWidth="1" style="1" min="3" max="3"/>
    <col width="14" customWidth="1" style="1" min="4" max="4"/>
    <col width="14" customWidth="1" style="1" min="5" max="5"/>
    <col width="20" customWidth="1" style="1" min="6" max="6"/>
    <col width="34" customWidth="1" style="1" min="7" max="7"/>
  </cols>
  <sheetData>
    <row r="1" ht="28" customHeight="1" s="1">
      <c r="A1" s="38" t="inlineStr">
        <is>
          <t>12 метрик диагностики</t>
        </is>
      </c>
      <c r="B1" s="39" t="n"/>
      <c r="C1" s="39" t="n"/>
      <c r="D1" s="39" t="n"/>
      <c r="E1" s="39" t="n"/>
      <c r="F1" s="39" t="n"/>
      <c r="G1" s="40" t="n"/>
    </row>
    <row r="2">
      <c r="A2" s="41" t="n"/>
      <c r="B2" s="41" t="n"/>
      <c r="C2" s="41" t="n"/>
      <c r="D2" s="41" t="n"/>
      <c r="E2" s="41" t="n"/>
      <c r="F2" s="41" t="n"/>
      <c r="G2" s="41" t="n"/>
    </row>
    <row r="3">
      <c r="A3" s="41" t="n"/>
      <c r="B3" s="41" t="n"/>
      <c r="C3" s="41" t="n"/>
      <c r="D3" s="41" t="n"/>
      <c r="E3" s="41" t="n"/>
      <c r="F3" s="41" t="n"/>
      <c r="G3" s="41" t="n"/>
    </row>
    <row r="4">
      <c r="A4" s="43" t="inlineStr">
        <is>
          <t>Метрика</t>
        </is>
      </c>
      <c r="B4" s="43" t="inlineStr">
        <is>
          <t>Направление</t>
        </is>
      </c>
      <c r="C4" s="43" t="inlineStr">
        <is>
          <t>Цель</t>
        </is>
      </c>
      <c r="D4" s="43" t="inlineStr">
        <is>
          <t>Факт</t>
        </is>
      </c>
      <c r="E4" s="43" t="inlineStr">
        <is>
          <t>Зона</t>
        </is>
      </c>
      <c r="F4" s="43" t="inlineStr">
        <is>
          <t>Статус вывода</t>
        </is>
      </c>
      <c r="G4" s="43" t="inlineStr">
        <is>
          <t>Комментарий</t>
        </is>
      </c>
    </row>
    <row r="5">
      <c r="A5" s="43" t="inlineStr">
        <is>
          <t>Net Margin per SKU x канал / чистая маржа</t>
        </is>
      </c>
      <c r="B5" s="43" t="inlineStr">
        <is>
          <t>min</t>
        </is>
      </c>
      <c r="C5" s="45" t="n">
        <v>0.1</v>
      </c>
      <c r="D5" s="55" t="str"/>
      <c r="E5" s="43">
        <f>IF(D5="","",IF(B5="min",IF(D5&gt;=C5,"зелёная",IF(D5&gt;=C5*0.8,"жёлтая","красная")),IF(B5="max",IF(D5&lt;=C5,"зелёная",IF(D5&lt;=C5*1.2,"жёлтая","красная")),IF(ABS(D5)&lt;=C5,"зелёная",IF(ABS(D5)&lt;=C5*1.4,"жёлтая","красная")))))</f>
        <v/>
      </c>
      <c r="F5" s="50" t="n"/>
      <c r="G5" s="50" t="n"/>
    </row>
    <row r="6">
      <c r="A6" s="43" t="inlineStr">
        <is>
          <t>ROMI / возврат маркетинга</t>
        </is>
      </c>
      <c r="B6" s="43" t="inlineStr">
        <is>
          <t>min</t>
        </is>
      </c>
      <c r="C6" s="56" t="n">
        <v>2.5</v>
      </c>
      <c r="D6" s="57" t="str"/>
      <c r="E6" s="43">
        <f>IF(D6="","",IF(B6="min",IF(D6&gt;=C6,"зелёная",IF(D6&gt;=C6*0.8,"жёлтая","красная")),IF(B6="max",IF(D6&lt;=C6,"зелёная",IF(D6&lt;=C6*1.2,"жёлтая","красная")),IF(ABS(D6)&lt;=C6,"зелёная",IF(ABS(D6)&lt;=C6*1.4,"жёлтая","красная")))))</f>
        <v/>
      </c>
      <c r="F6" s="50" t="n"/>
      <c r="G6" s="50" t="n"/>
    </row>
    <row r="7">
      <c r="A7" s="43" t="inlineStr">
        <is>
          <t>CI / индекс каннибализации</t>
        </is>
      </c>
      <c r="B7" s="43" t="inlineStr">
        <is>
          <t>max</t>
        </is>
      </c>
      <c r="C7" s="58" t="n">
        <v>0.7</v>
      </c>
      <c r="D7" s="59" t="str"/>
      <c r="E7" s="43">
        <f>IF(D7="","",IF(B7="min",IF(D7&gt;=C7,"зелёная",IF(D7&gt;=C7*0.8,"жёлтая","красная")),IF(B7="max",IF(D7&lt;=C7,"зелёная",IF(D7&lt;=C7*1.2,"жёлтая","красная")),IF(ABS(D7)&lt;=C7,"зелёная",IF(ABS(D7)&lt;=C7*1.4,"жёлтая","красная")))))</f>
        <v/>
      </c>
      <c r="F7" s="50" t="n"/>
      <c r="G7" s="50" t="n"/>
    </row>
    <row r="8">
      <c r="A8" s="43" t="inlineStr">
        <is>
          <t>Price Gap / ценовой разрыв</t>
        </is>
      </c>
      <c r="B8" s="43" t="inlineStr">
        <is>
          <t>range_abs</t>
        </is>
      </c>
      <c r="C8" s="45" t="n">
        <v>0.07000000000000001</v>
      </c>
      <c r="D8" s="55" t="str"/>
      <c r="E8" s="43">
        <f>IF(D8="","",IF(B8="min",IF(D8&gt;=C8,"зелёная",IF(D8&gt;=C8*0.8,"жёлтая","красная")),IF(B8="max",IF(D8&lt;=C8,"зелёная",IF(D8&lt;=C8*1.2,"жёлтая","красная")),IF(ABS(D8)&lt;=C8,"зелёная",IF(ABS(D8)&lt;=C8*1.4,"жёлтая","красная")))))</f>
        <v/>
      </c>
      <c r="F8" s="50" t="n"/>
      <c r="G8" s="50" t="n"/>
    </row>
    <row r="9">
      <c r="A9" s="43" t="inlineStr">
        <is>
          <t>CTR / доставка + возврат</t>
        </is>
      </c>
      <c r="B9" s="43" t="inlineStr">
        <is>
          <t>max</t>
        </is>
      </c>
      <c r="C9" s="45" t="n">
        <v>0.08</v>
      </c>
      <c r="D9" s="55" t="str"/>
      <c r="E9" s="43">
        <f>IF(D9="","",IF(B9="min",IF(D9&gt;=C9,"зелёная",IF(D9&gt;=C9*0.8,"жёлтая","красная")),IF(B9="max",IF(D9&lt;=C9,"зелёная",IF(D9&lt;=C9*1.2,"жёлтая","красная")),IF(ABS(D9)&lt;=C9,"зелёная",IF(ABS(D9)&lt;=C9*1.4,"жёлтая","красная")))))</f>
        <v/>
      </c>
      <c r="F9" s="50" t="n"/>
      <c r="G9" s="50" t="n"/>
    </row>
    <row r="10">
      <c r="A10" s="43" t="inlineStr">
        <is>
          <t>DSI / дни запасов</t>
        </is>
      </c>
      <c r="B10" s="43" t="inlineStr">
        <is>
          <t>max</t>
        </is>
      </c>
      <c r="C10" s="51" t="n">
        <v>75</v>
      </c>
      <c r="D10" s="52" t="str"/>
      <c r="E10" s="43">
        <f>IF(D10="","",IF(B10="min",IF(D10&gt;=C10,"зелёная",IF(D10&gt;=C10*0.8,"жёлтая","красная")),IF(B10="max",IF(D10&lt;=C10,"зелёная",IF(D10&lt;=C10*1.2,"жёлтая","красная")),IF(ABS(D10)&lt;=C10,"зелёная",IF(ABS(D10)&lt;=C10*1.4,"жёлтая","красная")))))</f>
        <v/>
      </c>
      <c r="F10" s="50" t="n"/>
      <c r="G10" s="50" t="n"/>
    </row>
    <row r="11">
      <c r="A11" s="43" t="inlineStr">
        <is>
          <t>OSA / наличие на полке</t>
        </is>
      </c>
      <c r="B11" s="43" t="inlineStr">
        <is>
          <t>min</t>
        </is>
      </c>
      <c r="C11" s="45" t="n">
        <v>0.95</v>
      </c>
      <c r="D11" s="55" t="str"/>
      <c r="E11" s="43">
        <f>IF(D11="","",IF(B11="min",IF(D11&gt;=C11,"зелёная",IF(D11&gt;=C11*0.8,"жёлтая","красная")),IF(B11="max",IF(D11&lt;=C11,"зелёная",IF(D11&lt;=C11*1.2,"жёлтая","красная")),IF(ABS(D11)&lt;=C11,"зелёная",IF(ABS(D11)&lt;=C11*1.4,"жёлтая","красная")))))</f>
        <v/>
      </c>
      <c r="F11" s="50" t="n"/>
      <c r="G11" s="50" t="n"/>
    </row>
    <row r="12">
      <c r="A12" s="43" t="inlineStr">
        <is>
          <t>Buy-Box Win-Rate / победа в карточке</t>
        </is>
      </c>
      <c r="B12" s="43" t="inlineStr">
        <is>
          <t>min</t>
        </is>
      </c>
      <c r="C12" s="45" t="n">
        <v>0.7</v>
      </c>
      <c r="D12" s="55" t="str"/>
      <c r="E12" s="43">
        <f>IF(D12="","",IF(B12="min",IF(D12&gt;=C12,"зелёная",IF(D12&gt;=C12*0.8,"жёлтая","красная")),IF(B12="max",IF(D12&lt;=C12,"зелёная",IF(D12&lt;=C12*1.2,"жёлтая","красная")),IF(ABS(D12)&lt;=C12,"зелёная",IF(ABS(D12)&lt;=C12*1.4,"жёлтая","красная")))))</f>
        <v/>
      </c>
      <c r="F12" s="50" t="n"/>
      <c r="G12" s="50" t="n"/>
    </row>
    <row r="13">
      <c r="A13" s="43" t="inlineStr">
        <is>
          <t>eNPS / индекс лояльности сотрудников</t>
        </is>
      </c>
      <c r="B13" s="43" t="inlineStr">
        <is>
          <t>min</t>
        </is>
      </c>
      <c r="C13" s="51" t="n">
        <v>30</v>
      </c>
      <c r="D13" s="52" t="str"/>
      <c r="E13" s="43">
        <f>IF(D13="","",IF(B13="min",IF(D13&gt;=C13,"зелёная",IF(D13&gt;=C13*0.8,"жёлтая","красная")),IF(B13="max",IF(D13&lt;=C13,"зелёная",IF(D13&lt;=C13*1.2,"жёлтая","красная")),IF(ABS(D13)&lt;=C13,"зелёная",IF(ABS(D13)&lt;=C13*1.4,"жёлтая","красная")))))</f>
        <v/>
      </c>
      <c r="F13" s="50" t="n"/>
      <c r="G13" s="50" t="n"/>
    </row>
    <row r="14">
      <c r="A14" s="43" t="inlineStr">
        <is>
          <t>Penalty Rate / доля штрафов</t>
        </is>
      </c>
      <c r="B14" s="43" t="inlineStr">
        <is>
          <t>max</t>
        </is>
      </c>
      <c r="C14" s="60" t="n">
        <v>0.005</v>
      </c>
      <c r="D14" s="61" t="str"/>
      <c r="E14" s="43">
        <f>IF(D14="","",IF(B14="min",IF(D14&gt;=C14,"зелёная",IF(D14&gt;=C14*0.8,"жёлтая","красная")),IF(B14="max",IF(D14&lt;=C14,"зелёная",IF(D14&lt;=C14*1.2,"жёлтая","красная")),IF(ABS(D14)&lt;=C14,"зелёная",IF(ABS(D14)&lt;=C14*1.4,"жёлтая","красная")))))</f>
        <v/>
      </c>
      <c r="F14" s="50" t="n"/>
      <c r="G14" s="50" t="n"/>
    </row>
    <row r="15">
      <c r="A15" s="43" t="inlineStr">
        <is>
          <t>NRL / чистые потери возвратов</t>
        </is>
      </c>
      <c r="B15" s="43" t="inlineStr">
        <is>
          <t>max</t>
        </is>
      </c>
      <c r="C15" s="45" t="n">
        <v>0.04</v>
      </c>
      <c r="D15" s="55" t="str"/>
      <c r="E15" s="43">
        <f>IF(D15="","",IF(B15="min",IF(D15&gt;=C15,"зелёная",IF(D15&gt;=C15*0.8,"жёлтая","красная")),IF(B15="max",IF(D15&lt;=C15,"зелёная",IF(D15&lt;=C15*1.2,"жёлтая","красная")),IF(ABS(D15)&lt;=C15,"зелёная",IF(ABS(D15)&lt;=C15*1.4,"жёлтая","красная")))))</f>
        <v/>
      </c>
      <c r="F15" s="50" t="n"/>
      <c r="G15" s="50" t="n"/>
    </row>
    <row r="16">
      <c r="A16" s="43" t="inlineStr">
        <is>
          <t>TCI / транспортные затраты</t>
        </is>
      </c>
      <c r="B16" s="43" t="inlineStr">
        <is>
          <t>max</t>
        </is>
      </c>
      <c r="C16" s="45" t="n">
        <v>0.08</v>
      </c>
      <c r="D16" s="55" t="str"/>
      <c r="E16" s="43">
        <f>IF(D16="","",IF(B16="min",IF(D16&gt;=C16,"зелёная",IF(D16&gt;=C16*0.8,"жёлтая","красная")),IF(B16="max",IF(D16&lt;=C16,"зелёная",IF(D16&lt;=C16*1.2,"жёлтая","красная")),IF(ABS(D16)&lt;=C16,"зелёная",IF(ABS(D16)&lt;=C16*1.4,"жёлтая","красная")))))</f>
        <v/>
      </c>
      <c r="F16" s="50" t="n"/>
      <c r="G16" s="50" t="n"/>
    </row>
  </sheetData>
  <conditionalFormatting sqref="E5:E16">
    <cfRule type="containsText" priority="1" operator="containsText" dxfId="0" text="красная"/>
    <cfRule type="containsText" priority="2" operator="containsText" dxfId="1" text="жёлтая"/>
    <cfRule type="containsText" priority="3" operator="containsText" dxfId="2" text="зелёная"/>
  </conditionalFormatting>
  <conditionalFormatting sqref="F5:F16">
    <cfRule type="containsText" priority="4" operator="containsText" dxfId="2" text="подтверждено"/>
    <cfRule type="containsText" priority="5" operator="containsText" dxfId="1" text="требует проверки"/>
    <cfRule type="containsText" priority="6" operator="containsText" dxfId="0" text="не подтверждено"/>
  </conditionalFormatting>
  <dataValidations count="1">
    <dataValidation sqref="F5:F16" showDropDown="0" showInputMessage="0" showErrorMessage="0" allowBlank="0" type="list">
      <formula1>"подтверждено,требует проверки,не подтверждено"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6AA84F"/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" min="1" max="1"/>
    <col width="32" customWidth="1" style="1" min="2" max="2"/>
    <col width="30" customWidth="1" style="1" min="3" max="3"/>
    <col width="20" customWidth="1" style="1" min="4" max="4"/>
    <col width="34" customWidth="1" style="1" min="5" max="5"/>
    <col width="14" customWidth="1" style="1" min="6" max="6"/>
    <col width="20" customWidth="1" style="1" min="7" max="7"/>
    <col width="34" customWidth="1" style="1" min="8" max="8"/>
  </cols>
  <sheetData>
    <row r="1" ht="28" customHeight="1" s="1">
      <c r="A1" s="38" t="inlineStr">
        <is>
          <t>Карта потерь</t>
        </is>
      </c>
      <c r="B1" s="39" t="n"/>
      <c r="C1" s="39" t="n"/>
      <c r="D1" s="39" t="n"/>
      <c r="E1" s="39" t="n"/>
      <c r="F1" s="39" t="n"/>
      <c r="G1" s="39" t="n"/>
      <c r="H1" s="40" t="n"/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</row>
    <row r="4">
      <c r="A4" s="43" t="inlineStr">
        <is>
          <t>Зона потерь</t>
        </is>
      </c>
      <c r="B4" s="43" t="inlineStr">
        <is>
          <t>Что происходит</t>
        </is>
      </c>
      <c r="C4" s="43" t="inlineStr">
        <is>
          <t>Подтверждение данными</t>
        </is>
      </c>
      <c r="D4" s="43" t="inlineStr">
        <is>
          <t>Статус</t>
        </is>
      </c>
      <c r="E4" s="43" t="inlineStr">
        <is>
          <t>Потенциальное решение</t>
        </is>
      </c>
      <c r="F4" s="43" t="inlineStr">
        <is>
          <t>Приоритет</t>
        </is>
      </c>
      <c r="G4" s="43" t="inlineStr">
        <is>
          <t>Владелец проверки</t>
        </is>
      </c>
      <c r="H4" s="43" t="inlineStr">
        <is>
          <t>Решение для сессии</t>
        </is>
      </c>
    </row>
    <row r="5">
      <c r="A5" s="43" t="inlineStr">
        <is>
          <t>Товарная матрица</t>
        </is>
      </c>
      <c r="B5" s="50" t="str"/>
      <c r="C5" s="50" t="str"/>
      <c r="D5" s="50" t="str"/>
      <c r="E5" s="50" t="str"/>
      <c r="F5" s="50" t="str"/>
      <c r="G5" s="50" t="str"/>
      <c r="H5" s="50" t="str"/>
    </row>
    <row r="6">
      <c r="A6" s="43" t="inlineStr">
        <is>
          <t>Каналы</t>
        </is>
      </c>
      <c r="B6" s="50" t="str"/>
      <c r="C6" s="50" t="str"/>
      <c r="D6" s="50" t="str"/>
      <c r="E6" s="50" t="str"/>
      <c r="F6" s="50" t="str"/>
      <c r="G6" s="50" t="str"/>
      <c r="H6" s="50" t="str"/>
    </row>
    <row r="7">
      <c r="A7" s="43" t="inlineStr">
        <is>
          <t>Цена</t>
        </is>
      </c>
      <c r="B7" s="50" t="str"/>
      <c r="C7" s="50" t="str"/>
      <c r="D7" s="50" t="str"/>
      <c r="E7" s="50" t="str"/>
      <c r="F7" s="50" t="str"/>
      <c r="G7" s="50" t="str"/>
      <c r="H7" s="50" t="str"/>
    </row>
    <row r="8">
      <c r="A8" s="43" t="inlineStr">
        <is>
          <t>Промо</t>
        </is>
      </c>
      <c r="B8" s="50" t="str"/>
      <c r="C8" s="50" t="str"/>
      <c r="D8" s="50" t="str"/>
      <c r="E8" s="50" t="str"/>
      <c r="F8" s="50" t="str"/>
      <c r="G8" s="50" t="str"/>
      <c r="H8" s="50" t="str"/>
    </row>
    <row r="9">
      <c r="A9" s="43" t="inlineStr">
        <is>
          <t>Комиссии</t>
        </is>
      </c>
      <c r="B9" s="50" t="str"/>
      <c r="C9" s="50" t="str"/>
      <c r="D9" s="50" t="str"/>
      <c r="E9" s="50" t="str"/>
      <c r="F9" s="50" t="str"/>
      <c r="G9" s="50" t="str"/>
      <c r="H9" s="50" t="str"/>
    </row>
    <row r="10">
      <c r="A10" s="43" t="inlineStr">
        <is>
          <t>Запасы</t>
        </is>
      </c>
      <c r="B10" s="50" t="str"/>
      <c r="C10" s="50" t="str"/>
      <c r="D10" s="50" t="str"/>
      <c r="E10" s="50" t="str"/>
      <c r="F10" s="50" t="str"/>
      <c r="G10" s="50" t="str"/>
      <c r="H10" s="50" t="str"/>
    </row>
    <row r="11">
      <c r="A11" s="43" t="inlineStr">
        <is>
          <t>Возвраты</t>
        </is>
      </c>
      <c r="B11" s="50" t="str"/>
      <c r="C11" s="50" t="str"/>
      <c r="D11" s="50" t="str"/>
      <c r="E11" s="50" t="str"/>
      <c r="F11" s="50" t="str"/>
      <c r="G11" s="50" t="str"/>
      <c r="H11" s="50" t="str"/>
    </row>
    <row r="12">
      <c r="A12" s="43" t="inlineStr">
        <is>
          <t>Упаковка / штрафы</t>
        </is>
      </c>
      <c r="B12" s="50" t="str"/>
      <c r="C12" s="50" t="str"/>
      <c r="D12" s="50" t="str"/>
      <c r="E12" s="50" t="str"/>
      <c r="F12" s="50" t="str"/>
      <c r="G12" s="50" t="str"/>
      <c r="H12" s="50" t="str"/>
    </row>
    <row r="13">
      <c r="A13" s="43" t="inlineStr">
        <is>
          <t>Ответственность</t>
        </is>
      </c>
      <c r="B13" s="50" t="str"/>
      <c r="C13" s="50" t="str"/>
      <c r="D13" s="50" t="str"/>
      <c r="E13" s="50" t="str"/>
      <c r="F13" s="50" t="str"/>
      <c r="G13" s="50" t="str"/>
      <c r="H13" s="50" t="str"/>
    </row>
    <row r="14">
      <c r="A14" s="50" t="n"/>
      <c r="B14" s="50" t="n"/>
      <c r="C14" s="50" t="n"/>
      <c r="D14" s="50" t="n"/>
      <c r="E14" s="50" t="n"/>
      <c r="F14" s="50" t="n"/>
      <c r="G14" s="50" t="n"/>
      <c r="H14" s="50" t="n"/>
    </row>
    <row r="15">
      <c r="A15" s="50" t="n"/>
      <c r="B15" s="50" t="n"/>
      <c r="C15" s="50" t="n"/>
      <c r="D15" s="50" t="n"/>
      <c r="E15" s="50" t="n"/>
      <c r="F15" s="50" t="n"/>
      <c r="G15" s="50" t="n"/>
      <c r="H15" s="50" t="n"/>
    </row>
    <row r="16">
      <c r="A16" s="50" t="n"/>
      <c r="B16" s="50" t="n"/>
      <c r="C16" s="50" t="n"/>
      <c r="D16" s="50" t="n"/>
      <c r="E16" s="50" t="n"/>
      <c r="F16" s="50" t="n"/>
      <c r="G16" s="50" t="n"/>
      <c r="H16" s="50" t="n"/>
    </row>
    <row r="17">
      <c r="A17" s="50" t="n"/>
      <c r="B17" s="50" t="n"/>
      <c r="C17" s="50" t="n"/>
      <c r="D17" s="50" t="n"/>
      <c r="E17" s="50" t="n"/>
      <c r="F17" s="50" t="n"/>
      <c r="G17" s="50" t="n"/>
      <c r="H17" s="50" t="n"/>
    </row>
    <row r="18">
      <c r="A18" s="50" t="n"/>
      <c r="B18" s="50" t="n"/>
      <c r="C18" s="50" t="n"/>
      <c r="D18" s="50" t="n"/>
      <c r="E18" s="50" t="n"/>
      <c r="F18" s="50" t="n"/>
      <c r="G18" s="50" t="n"/>
      <c r="H18" s="50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</row>
    <row r="20">
      <c r="A20" s="50" t="n"/>
      <c r="B20" s="50" t="n"/>
      <c r="C20" s="50" t="n"/>
      <c r="D20" s="50" t="n"/>
      <c r="E20" s="50" t="n"/>
      <c r="F20" s="50" t="n"/>
      <c r="G20" s="50" t="n"/>
      <c r="H20" s="50" t="n"/>
    </row>
    <row r="21">
      <c r="A21" s="50" t="n"/>
      <c r="B21" s="50" t="n"/>
      <c r="C21" s="50" t="n"/>
      <c r="D21" s="50" t="n"/>
      <c r="E21" s="50" t="n"/>
      <c r="F21" s="50" t="n"/>
      <c r="G21" s="50" t="n"/>
      <c r="H21" s="50" t="n"/>
    </row>
    <row r="22">
      <c r="A22" s="50" t="n"/>
      <c r="B22" s="50" t="n"/>
      <c r="C22" s="50" t="n"/>
      <c r="D22" s="50" t="n"/>
      <c r="E22" s="50" t="n"/>
      <c r="F22" s="50" t="n"/>
      <c r="G22" s="50" t="n"/>
      <c r="H22" s="50" t="n"/>
    </row>
    <row r="23">
      <c r="A23" s="50" t="n"/>
      <c r="B23" s="50" t="n"/>
      <c r="C23" s="50" t="n"/>
      <c r="D23" s="50" t="n"/>
      <c r="E23" s="50" t="n"/>
      <c r="F23" s="50" t="n"/>
      <c r="G23" s="50" t="n"/>
      <c r="H23" s="50" t="n"/>
    </row>
    <row r="24">
      <c r="A24" s="50" t="n"/>
      <c r="B24" s="50" t="n"/>
      <c r="C24" s="50" t="n"/>
      <c r="D24" s="50" t="n"/>
      <c r="E24" s="50" t="n"/>
      <c r="F24" s="50" t="n"/>
      <c r="G24" s="50" t="n"/>
      <c r="H24" s="50" t="n"/>
    </row>
    <row r="25">
      <c r="A25" s="50" t="n"/>
      <c r="B25" s="50" t="n"/>
      <c r="C25" s="50" t="n"/>
      <c r="D25" s="50" t="n"/>
      <c r="E25" s="50" t="n"/>
      <c r="F25" s="50" t="n"/>
      <c r="G25" s="50" t="n"/>
      <c r="H25" s="50" t="n"/>
    </row>
    <row r="26">
      <c r="A26" s="50" t="n"/>
      <c r="B26" s="50" t="n"/>
      <c r="C26" s="50" t="n"/>
      <c r="D26" s="50" t="n"/>
      <c r="E26" s="50" t="n"/>
      <c r="F26" s="50" t="n"/>
      <c r="G26" s="50" t="n"/>
      <c r="H26" s="50" t="n"/>
    </row>
    <row r="27">
      <c r="A27" s="50" t="n"/>
      <c r="B27" s="50" t="n"/>
      <c r="C27" s="50" t="n"/>
      <c r="D27" s="50" t="n"/>
      <c r="E27" s="50" t="n"/>
      <c r="F27" s="50" t="n"/>
      <c r="G27" s="50" t="n"/>
      <c r="H27" s="50" t="n"/>
    </row>
    <row r="28">
      <c r="A28" s="50" t="n"/>
      <c r="B28" s="50" t="n"/>
      <c r="C28" s="50" t="n"/>
      <c r="D28" s="50" t="n"/>
      <c r="E28" s="50" t="n"/>
      <c r="F28" s="50" t="n"/>
      <c r="G28" s="50" t="n"/>
      <c r="H28" s="50" t="n"/>
    </row>
    <row r="29">
      <c r="A29" s="50" t="n"/>
      <c r="B29" s="50" t="n"/>
      <c r="C29" s="50" t="n"/>
      <c r="D29" s="50" t="n"/>
      <c r="E29" s="50" t="n"/>
      <c r="F29" s="50" t="n"/>
      <c r="G29" s="50" t="n"/>
      <c r="H29" s="50" t="n"/>
    </row>
    <row r="30">
      <c r="A30" s="50" t="n"/>
      <c r="B30" s="50" t="n"/>
      <c r="C30" s="50" t="n"/>
      <c r="D30" s="50" t="n"/>
      <c r="E30" s="50" t="n"/>
      <c r="F30" s="50" t="n"/>
      <c r="G30" s="50" t="n"/>
      <c r="H30" s="50" t="n"/>
    </row>
    <row r="31">
      <c r="A31" s="50" t="n"/>
      <c r="B31" s="50" t="n"/>
      <c r="C31" s="50" t="n"/>
      <c r="D31" s="50" t="n"/>
      <c r="E31" s="50" t="n"/>
      <c r="F31" s="50" t="n"/>
      <c r="G31" s="50" t="n"/>
      <c r="H31" s="50" t="n"/>
    </row>
    <row r="32">
      <c r="A32" s="50" t="n"/>
      <c r="B32" s="50" t="n"/>
      <c r="C32" s="50" t="n"/>
      <c r="D32" s="50" t="n"/>
      <c r="E32" s="50" t="n"/>
      <c r="F32" s="50" t="n"/>
      <c r="G32" s="50" t="n"/>
      <c r="H32" s="50" t="n"/>
    </row>
    <row r="33">
      <c r="A33" s="50" t="n"/>
      <c r="B33" s="50" t="n"/>
      <c r="C33" s="50" t="n"/>
      <c r="D33" s="50" t="n"/>
      <c r="E33" s="50" t="n"/>
      <c r="F33" s="50" t="n"/>
      <c r="G33" s="50" t="n"/>
      <c r="H33" s="50" t="n"/>
    </row>
    <row r="34">
      <c r="A34" s="50" t="n"/>
      <c r="B34" s="50" t="n"/>
      <c r="C34" s="50" t="n"/>
      <c r="D34" s="50" t="n"/>
      <c r="E34" s="50" t="n"/>
      <c r="F34" s="50" t="n"/>
      <c r="G34" s="50" t="n"/>
      <c r="H34" s="50" t="n"/>
    </row>
    <row r="35">
      <c r="A35" s="50" t="n"/>
      <c r="B35" s="50" t="n"/>
      <c r="C35" s="50" t="n"/>
      <c r="D35" s="50" t="n"/>
      <c r="E35" s="50" t="n"/>
      <c r="F35" s="50" t="n"/>
      <c r="G35" s="50" t="n"/>
      <c r="H35" s="50" t="n"/>
    </row>
    <row r="36">
      <c r="A36" s="50" t="n"/>
      <c r="B36" s="50" t="n"/>
      <c r="C36" s="50" t="n"/>
      <c r="D36" s="50" t="n"/>
      <c r="E36" s="50" t="n"/>
      <c r="F36" s="50" t="n"/>
      <c r="G36" s="50" t="n"/>
      <c r="H36" s="50" t="n"/>
    </row>
    <row r="37">
      <c r="A37" s="50" t="n"/>
      <c r="B37" s="50" t="n"/>
      <c r="C37" s="50" t="n"/>
      <c r="D37" s="50" t="n"/>
      <c r="E37" s="50" t="n"/>
      <c r="F37" s="50" t="n"/>
      <c r="G37" s="50" t="n"/>
      <c r="H37" s="50" t="n"/>
    </row>
    <row r="38">
      <c r="A38" s="50" t="n"/>
      <c r="B38" s="50" t="n"/>
      <c r="C38" s="50" t="n"/>
      <c r="D38" s="50" t="n"/>
      <c r="E38" s="50" t="n"/>
      <c r="F38" s="50" t="n"/>
      <c r="G38" s="50" t="n"/>
      <c r="H38" s="50" t="n"/>
    </row>
    <row r="39">
      <c r="A39" s="50" t="n"/>
      <c r="B39" s="50" t="n"/>
      <c r="C39" s="50" t="n"/>
      <c r="D39" s="50" t="n"/>
      <c r="E39" s="50" t="n"/>
      <c r="F39" s="50" t="n"/>
      <c r="G39" s="50" t="n"/>
      <c r="H39" s="50" t="n"/>
    </row>
    <row r="40">
      <c r="A40" s="50" t="n"/>
      <c r="B40" s="50" t="n"/>
      <c r="C40" s="50" t="n"/>
      <c r="D40" s="50" t="n"/>
      <c r="E40" s="50" t="n"/>
      <c r="F40" s="50" t="n"/>
      <c r="G40" s="50" t="n"/>
      <c r="H40" s="50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</row>
    <row r="49">
      <c r="A49" s="28" t="n"/>
      <c r="B49" s="28" t="n"/>
      <c r="C49" s="28" t="n"/>
      <c r="D49" s="28" t="n"/>
      <c r="E49" s="28" t="n"/>
      <c r="F49" s="28" t="n"/>
      <c r="G49" s="28" t="n"/>
      <c r="H49" s="28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</row>
  </sheetData>
  <conditionalFormatting sqref="D5:D50">
    <cfRule type="containsText" priority="1" operator="containsText" dxfId="2" text="подтверждено"/>
    <cfRule type="containsText" priority="2" operator="containsText" dxfId="1" text="требует проверки"/>
    <cfRule type="containsText" priority="3" operator="containsText" dxfId="0" text="не подтверждено"/>
  </conditionalFormatting>
  <dataValidations count="2">
    <dataValidation sqref="D5:D50" showDropDown="0" showInputMessage="0" showErrorMessage="0" allowBlank="0" type="list">
      <formula1>"подтверждено,требует проверки,не подтверждено"</formula1>
    </dataValidation>
    <dataValidation sqref="F5:F50" showDropDown="0" showInputMessage="0" showErrorMessage="0" allowBlank="0" type="list">
      <formula1>"P0,P1,P2,P3"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6AA84F"/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30" customWidth="1" style="1" min="2" max="2"/>
    <col width="30" customWidth="1" style="1" min="3" max="3"/>
    <col width="30" customWidth="1" style="1" min="4" max="4"/>
    <col width="14" customWidth="1" style="1" min="5" max="5"/>
    <col width="20" customWidth="1" style="1" min="6" max="6"/>
  </cols>
  <sheetData>
    <row r="1" ht="28" customHeight="1" s="1">
      <c r="A1" s="38" t="inlineStr">
        <is>
          <t>Гипотезы</t>
        </is>
      </c>
      <c r="B1" s="39" t="n"/>
      <c r="C1" s="39" t="n"/>
      <c r="D1" s="39" t="n"/>
      <c r="E1" s="39" t="n"/>
      <c r="F1" s="40" t="n"/>
    </row>
    <row r="2">
      <c r="A2" s="41" t="n"/>
      <c r="B2" s="41" t="n"/>
      <c r="C2" s="41" t="n"/>
      <c r="D2" s="41" t="n"/>
      <c r="E2" s="41" t="n"/>
      <c r="F2" s="41" t="n"/>
    </row>
    <row r="3">
      <c r="A3" s="41" t="n"/>
      <c r="B3" s="41" t="n"/>
      <c r="C3" s="41" t="n"/>
      <c r="D3" s="41" t="n"/>
      <c r="E3" s="41" t="n"/>
      <c r="F3" s="41" t="n"/>
    </row>
    <row r="4">
      <c r="A4" s="43" t="inlineStr">
        <is>
          <t>Гипотеза</t>
        </is>
      </c>
      <c r="B4" s="43" t="inlineStr">
        <is>
          <t>Почему возникла</t>
        </is>
      </c>
      <c r="C4" s="43" t="inlineStr">
        <is>
          <t>Какие данные нужны</t>
        </is>
      </c>
      <c r="D4" s="43" t="inlineStr">
        <is>
          <t>Как проверить</t>
        </is>
      </c>
      <c r="E4" s="43" t="inlineStr">
        <is>
          <t>Срок</t>
        </is>
      </c>
      <c r="F4" s="43" t="inlineStr">
        <is>
          <t>Статус</t>
        </is>
      </c>
    </row>
    <row r="5">
      <c r="A5" s="50" t="n"/>
      <c r="B5" s="50" t="n"/>
      <c r="C5" s="50" t="n"/>
      <c r="D5" s="50" t="n"/>
      <c r="E5" s="62" t="n"/>
      <c r="F5" s="50" t="n"/>
    </row>
    <row r="6">
      <c r="A6" s="50" t="n"/>
      <c r="B6" s="50" t="n"/>
      <c r="C6" s="50" t="n"/>
      <c r="D6" s="50" t="n"/>
      <c r="E6" s="62" t="n"/>
      <c r="F6" s="50" t="n"/>
    </row>
    <row r="7">
      <c r="A7" s="50" t="n"/>
      <c r="B7" s="50" t="n"/>
      <c r="C7" s="50" t="n"/>
      <c r="D7" s="50" t="n"/>
      <c r="E7" s="62" t="n"/>
      <c r="F7" s="50" t="n"/>
    </row>
    <row r="8">
      <c r="A8" s="50" t="n"/>
      <c r="B8" s="50" t="n"/>
      <c r="C8" s="50" t="n"/>
      <c r="D8" s="50" t="n"/>
      <c r="E8" s="62" t="n"/>
      <c r="F8" s="50" t="n"/>
    </row>
    <row r="9">
      <c r="A9" s="50" t="n"/>
      <c r="B9" s="50" t="n"/>
      <c r="C9" s="50" t="n"/>
      <c r="D9" s="50" t="n"/>
      <c r="E9" s="62" t="n"/>
      <c r="F9" s="50" t="n"/>
    </row>
    <row r="10">
      <c r="A10" s="50" t="n"/>
      <c r="B10" s="50" t="n"/>
      <c r="C10" s="50" t="n"/>
      <c r="D10" s="50" t="n"/>
      <c r="E10" s="62" t="n"/>
      <c r="F10" s="50" t="n"/>
    </row>
    <row r="11">
      <c r="A11" s="50" t="n"/>
      <c r="B11" s="50" t="n"/>
      <c r="C11" s="50" t="n"/>
      <c r="D11" s="50" t="n"/>
      <c r="E11" s="62" t="n"/>
      <c r="F11" s="50" t="n"/>
    </row>
    <row r="12">
      <c r="A12" s="50" t="n"/>
      <c r="B12" s="50" t="n"/>
      <c r="C12" s="50" t="n"/>
      <c r="D12" s="50" t="n"/>
      <c r="E12" s="62" t="n"/>
      <c r="F12" s="50" t="n"/>
    </row>
    <row r="13">
      <c r="A13" s="50" t="n"/>
      <c r="B13" s="50" t="n"/>
      <c r="C13" s="50" t="n"/>
      <c r="D13" s="50" t="n"/>
      <c r="E13" s="62" t="n"/>
      <c r="F13" s="50" t="n"/>
    </row>
    <row r="14">
      <c r="A14" s="50" t="n"/>
      <c r="B14" s="50" t="n"/>
      <c r="C14" s="50" t="n"/>
      <c r="D14" s="50" t="n"/>
      <c r="E14" s="62" t="n"/>
      <c r="F14" s="50" t="n"/>
    </row>
    <row r="15">
      <c r="A15" s="50" t="n"/>
      <c r="B15" s="50" t="n"/>
      <c r="C15" s="50" t="n"/>
      <c r="D15" s="50" t="n"/>
      <c r="E15" s="62" t="n"/>
      <c r="F15" s="50" t="n"/>
    </row>
    <row r="16">
      <c r="A16" s="50" t="n"/>
      <c r="B16" s="50" t="n"/>
      <c r="C16" s="50" t="n"/>
      <c r="D16" s="50" t="n"/>
      <c r="E16" s="62" t="n"/>
      <c r="F16" s="50" t="n"/>
    </row>
    <row r="17">
      <c r="A17" s="50" t="n"/>
      <c r="B17" s="50" t="n"/>
      <c r="C17" s="50" t="n"/>
      <c r="D17" s="50" t="n"/>
      <c r="E17" s="62" t="n"/>
      <c r="F17" s="50" t="n"/>
    </row>
    <row r="18">
      <c r="A18" s="50" t="n"/>
      <c r="B18" s="50" t="n"/>
      <c r="C18" s="50" t="n"/>
      <c r="D18" s="50" t="n"/>
      <c r="E18" s="62" t="n"/>
      <c r="F18" s="50" t="n"/>
    </row>
    <row r="19">
      <c r="A19" s="50" t="n"/>
      <c r="B19" s="50" t="n"/>
      <c r="C19" s="50" t="n"/>
      <c r="D19" s="50" t="n"/>
      <c r="E19" s="62" t="n"/>
      <c r="F19" s="50" t="n"/>
    </row>
    <row r="20">
      <c r="A20" s="50" t="n"/>
      <c r="B20" s="50" t="n"/>
      <c r="C20" s="50" t="n"/>
      <c r="D20" s="50" t="n"/>
      <c r="E20" s="62" t="n"/>
      <c r="F20" s="50" t="n"/>
    </row>
    <row r="21">
      <c r="A21" s="50" t="n"/>
      <c r="B21" s="50" t="n"/>
      <c r="C21" s="50" t="n"/>
      <c r="D21" s="50" t="n"/>
      <c r="E21" s="62" t="n"/>
      <c r="F21" s="50" t="n"/>
    </row>
    <row r="22">
      <c r="A22" s="50" t="n"/>
      <c r="B22" s="50" t="n"/>
      <c r="C22" s="50" t="n"/>
      <c r="D22" s="50" t="n"/>
      <c r="E22" s="62" t="n"/>
      <c r="F22" s="50" t="n"/>
    </row>
    <row r="23">
      <c r="A23" s="50" t="n"/>
      <c r="B23" s="50" t="n"/>
      <c r="C23" s="50" t="n"/>
      <c r="D23" s="50" t="n"/>
      <c r="E23" s="62" t="n"/>
      <c r="F23" s="50" t="n"/>
    </row>
    <row r="24">
      <c r="A24" s="50" t="n"/>
      <c r="B24" s="50" t="n"/>
      <c r="C24" s="50" t="n"/>
      <c r="D24" s="50" t="n"/>
      <c r="E24" s="62" t="n"/>
      <c r="F24" s="50" t="n"/>
    </row>
    <row r="25">
      <c r="A25" s="50" t="n"/>
      <c r="B25" s="50" t="n"/>
      <c r="C25" s="50" t="n"/>
      <c r="D25" s="50" t="n"/>
      <c r="E25" s="62" t="n"/>
      <c r="F25" s="50" t="n"/>
    </row>
    <row r="26">
      <c r="A26" s="50" t="n"/>
      <c r="B26" s="50" t="n"/>
      <c r="C26" s="50" t="n"/>
      <c r="D26" s="50" t="n"/>
      <c r="E26" s="62" t="n"/>
      <c r="F26" s="50" t="n"/>
    </row>
    <row r="27">
      <c r="A27" s="50" t="n"/>
      <c r="B27" s="50" t="n"/>
      <c r="C27" s="50" t="n"/>
      <c r="D27" s="50" t="n"/>
      <c r="E27" s="62" t="n"/>
      <c r="F27" s="50" t="n"/>
    </row>
    <row r="28">
      <c r="A28" s="50" t="n"/>
      <c r="B28" s="50" t="n"/>
      <c r="C28" s="50" t="n"/>
      <c r="D28" s="50" t="n"/>
      <c r="E28" s="62" t="n"/>
      <c r="F28" s="50" t="n"/>
    </row>
    <row r="29">
      <c r="A29" s="50" t="n"/>
      <c r="B29" s="50" t="n"/>
      <c r="C29" s="50" t="n"/>
      <c r="D29" s="50" t="n"/>
      <c r="E29" s="62" t="n"/>
      <c r="F29" s="50" t="n"/>
    </row>
    <row r="30">
      <c r="A30" s="50" t="n"/>
      <c r="B30" s="50" t="n"/>
      <c r="C30" s="50" t="n"/>
      <c r="D30" s="50" t="n"/>
      <c r="E30" s="62" t="n"/>
      <c r="F30" s="50" t="n"/>
    </row>
    <row r="31">
      <c r="A31" s="50" t="n"/>
      <c r="B31" s="50" t="n"/>
      <c r="C31" s="50" t="n"/>
      <c r="D31" s="50" t="n"/>
      <c r="E31" s="62" t="n"/>
      <c r="F31" s="50" t="n"/>
    </row>
    <row r="32">
      <c r="A32" s="50" t="n"/>
      <c r="B32" s="50" t="n"/>
      <c r="C32" s="50" t="n"/>
      <c r="D32" s="50" t="n"/>
      <c r="E32" s="62" t="n"/>
      <c r="F32" s="50" t="n"/>
    </row>
    <row r="33">
      <c r="A33" s="50" t="n"/>
      <c r="B33" s="50" t="n"/>
      <c r="C33" s="50" t="n"/>
      <c r="D33" s="50" t="n"/>
      <c r="E33" s="62" t="n"/>
      <c r="F33" s="50" t="n"/>
    </row>
    <row r="34">
      <c r="A34" s="50" t="n"/>
      <c r="B34" s="50" t="n"/>
      <c r="C34" s="50" t="n"/>
      <c r="D34" s="50" t="n"/>
      <c r="E34" s="62" t="n"/>
      <c r="F34" s="50" t="n"/>
    </row>
    <row r="35">
      <c r="A35" s="50" t="n"/>
      <c r="B35" s="50" t="n"/>
      <c r="C35" s="50" t="n"/>
      <c r="D35" s="50" t="n"/>
      <c r="E35" s="62" t="n"/>
      <c r="F35" s="50" t="n"/>
    </row>
    <row r="36">
      <c r="A36" s="50" t="n"/>
      <c r="B36" s="50" t="n"/>
      <c r="C36" s="50" t="n"/>
      <c r="D36" s="50" t="n"/>
      <c r="E36" s="62" t="n"/>
      <c r="F36" s="50" t="n"/>
    </row>
    <row r="37">
      <c r="A37" s="50" t="n"/>
      <c r="B37" s="50" t="n"/>
      <c r="C37" s="50" t="n"/>
      <c r="D37" s="50" t="n"/>
      <c r="E37" s="62" t="n"/>
      <c r="F37" s="50" t="n"/>
    </row>
    <row r="38">
      <c r="A38" s="50" t="n"/>
      <c r="B38" s="50" t="n"/>
      <c r="C38" s="50" t="n"/>
      <c r="D38" s="50" t="n"/>
      <c r="E38" s="62" t="n"/>
      <c r="F38" s="50" t="n"/>
    </row>
    <row r="39">
      <c r="A39" s="50" t="n"/>
      <c r="B39" s="50" t="n"/>
      <c r="C39" s="50" t="n"/>
      <c r="D39" s="50" t="n"/>
      <c r="E39" s="62" t="n"/>
      <c r="F39" s="50" t="n"/>
    </row>
    <row r="40">
      <c r="A40" s="50" t="n"/>
      <c r="B40" s="50" t="n"/>
      <c r="C40" s="50" t="n"/>
      <c r="D40" s="50" t="n"/>
      <c r="E40" s="62" t="n"/>
      <c r="F40" s="50" t="n"/>
    </row>
    <row r="41">
      <c r="A41" s="28" t="n"/>
      <c r="B41" s="28" t="n"/>
      <c r="C41" s="28" t="n"/>
      <c r="D41" s="28" t="n"/>
      <c r="E41" s="63" t="n"/>
      <c r="F41" s="28" t="n"/>
    </row>
    <row r="42">
      <c r="A42" s="28" t="n"/>
      <c r="B42" s="28" t="n"/>
      <c r="C42" s="28" t="n"/>
      <c r="D42" s="28" t="n"/>
      <c r="E42" s="63" t="n"/>
      <c r="F42" s="28" t="n"/>
    </row>
    <row r="43">
      <c r="A43" s="28" t="n"/>
      <c r="B43" s="28" t="n"/>
      <c r="C43" s="28" t="n"/>
      <c r="D43" s="28" t="n"/>
      <c r="E43" s="63" t="n"/>
      <c r="F43" s="28" t="n"/>
    </row>
    <row r="44">
      <c r="A44" s="28" t="n"/>
      <c r="B44" s="28" t="n"/>
      <c r="C44" s="28" t="n"/>
      <c r="D44" s="28" t="n"/>
      <c r="E44" s="63" t="n"/>
      <c r="F44" s="28" t="n"/>
    </row>
    <row r="45">
      <c r="A45" s="28" t="n"/>
      <c r="B45" s="28" t="n"/>
      <c r="C45" s="28" t="n"/>
      <c r="D45" s="28" t="n"/>
      <c r="E45" s="63" t="n"/>
      <c r="F45" s="28" t="n"/>
    </row>
    <row r="46">
      <c r="A46" s="28" t="n"/>
      <c r="B46" s="28" t="n"/>
      <c r="C46" s="28" t="n"/>
      <c r="D46" s="28" t="n"/>
      <c r="E46" s="63" t="n"/>
      <c r="F46" s="28" t="n"/>
    </row>
    <row r="47">
      <c r="A47" s="28" t="n"/>
      <c r="B47" s="28" t="n"/>
      <c r="C47" s="28" t="n"/>
      <c r="D47" s="28" t="n"/>
      <c r="E47" s="63" t="n"/>
      <c r="F47" s="28" t="n"/>
    </row>
    <row r="48">
      <c r="A48" s="28" t="n"/>
      <c r="B48" s="28" t="n"/>
      <c r="C48" s="28" t="n"/>
      <c r="D48" s="28" t="n"/>
      <c r="E48" s="63" t="n"/>
      <c r="F48" s="28" t="n"/>
    </row>
    <row r="49">
      <c r="A49" s="28" t="n"/>
      <c r="B49" s="28" t="n"/>
      <c r="C49" s="28" t="n"/>
      <c r="D49" s="28" t="n"/>
      <c r="E49" s="63" t="n"/>
      <c r="F49" s="28" t="n"/>
    </row>
    <row r="50">
      <c r="A50" s="28" t="n"/>
      <c r="B50" s="28" t="n"/>
      <c r="C50" s="28" t="n"/>
      <c r="D50" s="28" t="n"/>
      <c r="E50" s="63" t="n"/>
      <c r="F50" s="28" t="n"/>
    </row>
  </sheetData>
  <conditionalFormatting sqref="F5:F50">
    <cfRule type="containsText" priority="1" operator="containsText" dxfId="2" text="подтверждено"/>
    <cfRule type="containsText" priority="2" operator="containsText" dxfId="1" text="требует проверки"/>
    <cfRule type="containsText" priority="3" operator="containsText" dxfId="0" text="не подтверждено"/>
  </conditionalFormatting>
  <dataValidations count="1">
    <dataValidation sqref="F5:F50" showDropDown="0" showInputMessage="0" showErrorMessage="0" allowBlank="0" type="list">
      <formula1>"подтверждено,требует проверки,не подтверждено"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6AA84F"/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" min="1" max="1"/>
    <col width="18" customWidth="1" style="1" min="2" max="2"/>
    <col width="24" customWidth="1" style="1" min="3" max="3"/>
    <col width="14" customWidth="1" style="1" min="4" max="4"/>
    <col width="14" customWidth="1" style="1" min="5" max="5"/>
    <col width="14" customWidth="1" style="1" min="6" max="6"/>
    <col width="28" customWidth="1" style="1" min="7" max="7"/>
    <col width="14" customWidth="1" style="1" min="8" max="8"/>
  </cols>
  <sheetData>
    <row r="1">
      <c r="A1" s="38" t="inlineStr">
        <is>
          <t>Статусы данных</t>
        </is>
      </c>
      <c r="B1" s="38" t="inlineStr">
        <is>
          <t>Качество данных</t>
        </is>
      </c>
      <c r="C1" s="38" t="inlineStr">
        <is>
          <t>Статусы вывода</t>
        </is>
      </c>
      <c r="D1" s="38" t="inlineStr">
        <is>
          <t>Зоны</t>
        </is>
      </c>
      <c r="E1" s="38" t="inlineStr">
        <is>
          <t>Приоритеты</t>
        </is>
      </c>
      <c r="F1" s="64" t="n"/>
      <c r="G1" s="38" t="inlineStr">
        <is>
          <t>Порог</t>
        </is>
      </c>
      <c r="H1" s="38" t="inlineStr">
        <is>
          <t>Значение</t>
        </is>
      </c>
    </row>
    <row r="2">
      <c r="A2" s="42" t="inlineStr">
        <is>
          <t>есть</t>
        </is>
      </c>
      <c r="B2" s="42" t="n">
        <v>2</v>
      </c>
      <c r="C2" s="42" t="inlineStr">
        <is>
          <t>подтверждено</t>
        </is>
      </c>
      <c r="D2" s="42" t="inlineStr">
        <is>
          <t>зелёная</t>
        </is>
      </c>
      <c r="E2" s="42" t="inlineStr">
        <is>
          <t>P0</t>
        </is>
      </c>
      <c r="F2" s="41" t="n"/>
      <c r="G2" s="42" t="inlineStr">
        <is>
          <t>Маржа зелёная от</t>
        </is>
      </c>
      <c r="H2" s="65" t="n">
        <v>0.1</v>
      </c>
    </row>
    <row r="3">
      <c r="A3" s="42" t="inlineStr">
        <is>
          <t>частично</t>
        </is>
      </c>
      <c r="B3" s="42" t="n">
        <v>1</v>
      </c>
      <c r="C3" s="42" t="inlineStr">
        <is>
          <t>требует проверки</t>
        </is>
      </c>
      <c r="D3" s="42" t="inlineStr">
        <is>
          <t>жёлтая</t>
        </is>
      </c>
      <c r="E3" s="42" t="inlineStr">
        <is>
          <t>P1</t>
        </is>
      </c>
      <c r="F3" s="41" t="n"/>
      <c r="G3" s="42" t="inlineStr">
        <is>
          <t>Маржа красная ниже</t>
        </is>
      </c>
      <c r="H3" s="65" t="n">
        <v>0.08</v>
      </c>
    </row>
    <row r="4">
      <c r="A4" s="43" t="inlineStr">
        <is>
          <t>нет</t>
        </is>
      </c>
      <c r="B4" s="43" t="n">
        <v>0</v>
      </c>
      <c r="C4" s="43" t="inlineStr">
        <is>
          <t>не подтверждено</t>
        </is>
      </c>
      <c r="D4" s="43" t="inlineStr">
        <is>
          <t>красная</t>
        </is>
      </c>
      <c r="E4" s="43" t="inlineStr">
        <is>
          <t>P2</t>
        </is>
      </c>
      <c r="F4" s="44" t="n"/>
      <c r="G4" s="43" t="inlineStr">
        <is>
          <t>Доля данных максимум</t>
        </is>
      </c>
      <c r="H4" s="43" t="n">
        <v>20</v>
      </c>
    </row>
    <row r="5">
      <c r="A5" s="50" t="n"/>
      <c r="B5" s="50" t="n"/>
      <c r="C5" s="43" t="inlineStr">
        <is>
          <t>модельный расчёт</t>
        </is>
      </c>
      <c r="D5" s="50" t="n"/>
      <c r="E5" s="43" t="inlineStr">
        <is>
          <t>P3</t>
        </is>
      </c>
      <c r="F5" s="44" t="n"/>
      <c r="G5" s="43" t="inlineStr">
        <is>
          <t>Экономика максимум</t>
        </is>
      </c>
      <c r="H5" s="43" t="n">
        <v>20</v>
      </c>
    </row>
    <row r="6">
      <c r="A6" s="44" t="n"/>
      <c r="B6" s="44" t="n"/>
      <c r="C6" s="44" t="n"/>
      <c r="D6" s="44" t="n"/>
      <c r="E6" s="44" t="n"/>
      <c r="F6" s="44" t="n"/>
      <c r="G6" s="43" t="inlineStr">
        <is>
          <t>Каналы максимум</t>
        </is>
      </c>
      <c r="H6" s="43" t="n">
        <v>20</v>
      </c>
    </row>
    <row r="7">
      <c r="A7" s="44" t="n"/>
      <c r="B7" s="44" t="n"/>
      <c r="C7" s="44" t="n"/>
      <c r="D7" s="44" t="n"/>
      <c r="E7" s="44" t="n"/>
      <c r="F7" s="44" t="n"/>
      <c r="G7" s="43" t="inlineStr">
        <is>
          <t>Решения максимум</t>
        </is>
      </c>
      <c r="H7" s="43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2026-07-20T12:18:37Z</dcterms:created>
  <dcterms:modified xmlns:dcterms="http://purl.org/dc/terms/" xmlns:xsi="http://www.w3.org/2001/XMLSchema-instance" xsi:type="dcterms:W3CDTF">2026-07-20T12:24:19Z</dcterms:modified>
</cp:coreProperties>
</file>