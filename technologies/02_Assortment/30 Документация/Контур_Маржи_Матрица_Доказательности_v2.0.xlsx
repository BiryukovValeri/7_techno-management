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6da985e19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ульт" sheetId="1" r:id="R8d637774cc7b4e92"/>
    <x:sheet xmlns:r="http://schemas.openxmlformats.org/officeDocument/2006/relationships" name="Матрица" sheetId="2" r:id="Re94a5c9b4f2a490c"/>
    <x:sheet xmlns:r="http://schemas.openxmlformats.org/officeDocument/2006/relationships" name="Статусы" sheetId="3" r:id="R358152138d534e1f"/>
    <x:sheet xmlns:r="http://schemas.openxmlformats.org/officeDocument/2006/relationships" name="Анти-позиционирование" sheetId="4" r:id="R21c14f9cfa3546ac"/>
    <x:sheet xmlns:r="http://schemas.openxmlformats.org/officeDocument/2006/relationships" name="Проверка" sheetId="5" r:id="R211827be1eaf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1F4E79"/>
      <x:name val="Carlito"/>
    </x:font>
    <x:font>
      <x:b/>
      <x:sz val="11"/>
      <x:color rgb="FF1F4E79"/>
      <x:name val="Carlito"/>
    </x:font>
    <x:font>
      <x:b/>
      <x:sz val="18"/>
      <x:color rgb="FF1F4E79"/>
      <x:name val="Carlito"/>
    </x:font>
    <x:font>
      <x:sz val="11"/>
      <x:color rgb="FF212730"/>
      <x:name val="Carlito"/>
    </x:font>
    <x:font>
      <x:sz val="9"/>
      <x:color rgb="FF212730"/>
      <x:name val="Carlito"/>
    </x:font>
    <x:font>
      <x:b/>
      <x:sz val="11"/>
      <x:color rgb="FF212730"/>
      <x:name val="Carlito"/>
    </x:font>
    <x:font>
      <x:b/>
      <x:sz val="9"/>
      <x:color rgb="FF21273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6F1E8"/>
      </x:patternFill>
    </x:fill>
    <x:fill>
      <x:patternFill patternType="solid">
        <x:fgColor rgb="FFE8F0F7"/>
      </x:patternFill>
    </x:fill>
  </x:fills>
  <x:borders count="5">
    <x:border/>
    <x:border>
      <x:left style="thin">
        <x:color rgb="FFD6DCE2"/>
      </x:left>
      <x:top style="thin">
        <x:color rgb="FFD6DCE2"/>
      </x:top>
      <x:bottom style="thin">
        <x:color rgb="FFD6DCE2"/>
      </x:bottom>
    </x:border>
    <x:border>
      <x:top style="thin">
        <x:color rgb="FFD6DCE2"/>
      </x:top>
      <x:bottom style="thin">
        <x:color rgb="FFD6DCE2"/>
      </x:bottom>
    </x:border>
    <x:border>
      <x:right style="thin">
        <x:color rgb="FFD6DCE2"/>
      </x:right>
      <x:top style="thin">
        <x:color rgb="FFD6DCE2"/>
      </x:top>
      <x:bottom style="thin">
        <x:color rgb="FFD6DCE2"/>
      </x:bottom>
    </x:border>
    <x:border>
      <x:left style="thin">
        <x:color rgb="FFD6DCE2"/>
      </x:left>
      <x:right style="thin">
        <x:color rgb="FFD6DCE2"/>
      </x:right>
      <x:top style="thin">
        <x:color rgb="FFD6DCE2"/>
      </x:top>
      <x:bottom style="thin">
        <x:color rgb="FFD6DCE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horizontal="center" vertical="top" wrapText="1"/>
    </x:xf>
    <x:xf numFmtId="0" fontId="6" fillId="3" borderId="2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d2a6cd2b144e9" /><Relationship Type="http://schemas.openxmlformats.org/officeDocument/2006/relationships/theme" Target="/xl/theme/theme1.xml" Id="R70b6eb46a6534dcd" /><Relationship Type="http://schemas.openxmlformats.org/officeDocument/2006/relationships/sharedStrings" Target="/xl/sharedStrings.xml" Id="Rb84c404689ad431d" /><Relationship Type="http://schemas.openxmlformats.org/officeDocument/2006/relationships/worksheet" Target="/xl/worksheets/sheet1.xml" Id="R8d637774cc7b4e92" /><Relationship Type="http://schemas.openxmlformats.org/officeDocument/2006/relationships/worksheet" Target="/xl/worksheets/sheet2.xml" Id="Re94a5c9b4f2a490c" /><Relationship Type="http://schemas.openxmlformats.org/officeDocument/2006/relationships/worksheet" Target="/xl/worksheets/sheet3.xml" Id="R358152138d534e1f" /><Relationship Type="http://schemas.openxmlformats.org/officeDocument/2006/relationships/worksheet" Target="/xl/worksheets/sheet4.xml" Id="R21c14f9cfa3546ac" /><Relationship Type="http://schemas.openxmlformats.org/officeDocument/2006/relationships/worksheet" Target="/xl/worksheets/sheet5.xml" Id="R211827be1eaf45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4" hidden="0" customWidth="1"/>
    <x:col min="5" max="5" width="25" hidden="0" customWidth="1"/>
    <x:col min="6" max="6" width="20" hidden="0" customWidth="1"/>
    <x:col min="7" max="7" width="18" hidden="0" customWidth="1"/>
    <x:col min="8" max="8" width="20" hidden="0" customWidth="1"/>
  </x:cols>
  <x:sheetData>
    <x:row r="1">
      <x:c r="A1" s="5" t="str">
        <x:v>Контур Маржи - матрица доказательности v2.0</x:v>
      </x:c>
      <x:c r="B1" s="6"/>
      <x:c r="C1" s="6"/>
      <x:c r="D1" s="6"/>
      <x:c r="E1" s="6"/>
      <x:c r="F1" s="6"/>
      <x:c r="G1" s="6"/>
      <x:c r="H1" s="7"/>
    </x:row>
    <x:row r="2">
      <x:c r="A2" s="12" t="str">
        <x:v>Назначение</x:v>
      </x:c>
      <x:c r="B2" s="12" t="str">
        <x:v>Зафиксировать, какие коммерческие и методологические утверждения разрешены, на каком основании, где применяются и какие формулировки запрещены.</x:v>
      </x:c>
      <x:c r="C2" s="12"/>
      <x:c r="D2" s="12"/>
      <x:c r="E2" s="12"/>
      <x:c r="F2" s="12"/>
      <x:c r="G2" s="12"/>
      <x:c r="H2" s="12"/>
    </x:row>
    <x:row r="3">
      <x:c r="A3" s="12" t="str">
        <x:v>Правило</x:v>
      </x:c>
      <x:c r="B3" s="12" t="str">
        <x:v>Нет финансового обещания без источника, статуса и условия применения. Модельные кейсы нельзя выдавать за реальные внедрения.</x:v>
      </x:c>
      <x:c r="C3" s="12"/>
      <x:c r="D3" s="12"/>
      <x:c r="E3" s="12"/>
      <x:c r="F3" s="12"/>
      <x:c r="G3" s="12"/>
      <x:c r="H3" s="12"/>
    </x:row>
    <x:row r="5">
      <x:c r="A5" s="17" t="str">
        <x:v>Показатель</x:v>
      </x:c>
      <x:c r="B5" s="18" t="str">
        <x:v>Значение</x:v>
      </x:c>
      <x:c r="D5" s="17" t="str">
        <x:v>Как читать книгу</x:v>
      </x:c>
      <x:c r="E5" s="21"/>
      <x:c r="F5" s="21"/>
      <x:c r="G5" s="21"/>
      <x:c r="H5" s="18"/>
    </x:row>
    <x:row r="6">
      <x:c r="A6" s="12" t="str">
        <x:v>Всего утверждений</x:v>
      </x:c>
      <x:c r="B6" s="20" t="n">
        <x:f>COUNTA('Матрица'!A6:A80)</x:f>
        <x:v>15</x:v>
      </x:c>
      <x:c r="D6" s="12" t="str">
        <x:v>факт</x:v>
      </x:c>
      <x:c r="E6" s="12" t="str">
        <x:v>Можно говорить как проверенное положение комплекта или данных клиента.</x:v>
      </x:c>
      <x:c r="F6" s="12"/>
      <x:c r="G6" s="12"/>
      <x:c r="H6" s="12"/>
    </x:row>
    <x:row r="7">
      <x:c r="A7" s="12" t="str">
        <x:v>Факты</x:v>
      </x:c>
      <x:c r="B7" s="20" t="n">
        <x:f>COUNTIF('Матрица'!D6:D80,"факт")</x:f>
        <x:v>12</x:v>
      </x:c>
      <x:c r="D7" s="12" t="str">
        <x:v>гипотеза</x:v>
      </x:c>
      <x:c r="E7" s="12" t="str">
        <x:v>Можно говорить только как предположение до проверки данных.</x:v>
      </x:c>
      <x:c r="F7" s="12"/>
      <x:c r="G7" s="12"/>
      <x:c r="H7" s="12"/>
    </x:row>
    <x:row r="8">
      <x:c r="A8" s="12" t="str">
        <x:v>Гипотезы</x:v>
      </x:c>
      <x:c r="B8" s="20" t="n">
        <x:f>COUNTIF('Матрица'!D6:D80,"гипотеза")</x:f>
        <x:v>2</x:v>
      </x:c>
      <x:c r="D8" s="12" t="str">
        <x:v>модельный расчет</x:v>
      </x:c>
      <x:c r="E8" s="12" t="str">
        <x:v>Можно использовать для обучения и продажи Диагностики с явной маркировкой.</x:v>
      </x:c>
      <x:c r="F8" s="12"/>
      <x:c r="G8" s="12"/>
      <x:c r="H8" s="12"/>
    </x:row>
    <x:row r="9">
      <x:c r="A9" s="12" t="str">
        <x:v>Модельные расчеты</x:v>
      </x:c>
      <x:c r="B9" s="20" t="n">
        <x:f>COUNTIF('Матрица'!D6:D80,"модельный расчет")</x:f>
        <x:v>1</x:v>
      </x:c>
      <x:c r="D9" s="12" t="str">
        <x:v>неподтвержденное</x:v>
      </x:c>
      <x:c r="E9" s="12" t="str">
        <x:v>Нельзя использовать в продаже как обещание или доказанный эффект.</x:v>
      </x:c>
      <x:c r="F9" s="12"/>
      <x:c r="G9" s="12"/>
      <x:c r="H9" s="12"/>
    </x:row>
    <x:row r="10">
      <x:c r="A10" s="12" t="str">
        <x:v>Неподтвержденные</x:v>
      </x:c>
      <x:c r="B10" s="20" t="n">
        <x:f>COUNTIF('Матрица'!D6:D80,"неподтвержденное")</x:f>
        <x:v>0</x:v>
      </x:c>
      <x:c r="D10" s="12" t="str">
        <x:v>P1C-стоп</x:v>
      </x:c>
      <x:c r="E10" s="12" t="str">
        <x:v>Запрещено обещать рост прибыли до данных, решений и внедрения.</x:v>
      </x:c>
      <x:c r="F10" s="12"/>
      <x:c r="G10" s="12"/>
      <x:c r="H10" s="12"/>
    </x:row>
    <x:row r="11">
      <x:c r="A11" s="12" t="str">
        <x:v>Высокий риск</x:v>
      </x:c>
      <x:c r="B11" s="20" t="n">
        <x:f>COUNTIF('Матрица'!J6:J80,"высокий")</x:f>
        <x:v>9</x:v>
      </x:c>
      <x:c r="D11" s="12" t="str">
        <x:v>SSOT / единый источник правды</x:v>
      </x:c>
      <x:c r="E11" s="12" t="str">
        <x:v>Цены и публичные обещания сверяются с документом продуктов, сроков и цен.</x:v>
      </x:c>
      <x:c r="F11" s="12"/>
      <x:c r="G11" s="12"/>
      <x:c r="H11" s="12"/>
    </x:row>
    <x:row r="12">
      <x:c r="A12" s="12" t="str">
        <x:v>Требуют правки</x:v>
      </x:c>
      <x:c r="B12" s="20" t="n">
        <x:f>COUNTIF('Проверка'!G6:G80,"править")</x:f>
        <x:v>1</x:v>
      </x:c>
      <x:c r="D12" s="12" t="str">
        <x:v>Кейсы</x:v>
      </x:c>
      <x:c r="E12" s="12" t="str">
        <x:v>Все 12 кейсов имеют статус модельных сценариев.</x:v>
      </x:c>
      <x:c r="F12" s="12"/>
      <x:c r="G12" s="12"/>
      <x:c r="H12" s="12"/>
    </x:row>
  </x:sheetData>
  <x:mergeCells>
    <x:mergeCell ref="A1:H1"/>
    <x:mergeCell ref="B2:H2"/>
    <x:mergeCell ref="B3:H3"/>
    <x:mergeCell ref="D5:H5"/>
    <x:mergeCell ref="E6:H6"/>
    <x:mergeCell ref="E7:H7"/>
    <x:mergeCell ref="E8:H8"/>
    <x:mergeCell ref="E9:H9"/>
    <x:mergeCell ref="E10:H10"/>
    <x:mergeCell ref="E11:H11"/>
    <x:mergeCell ref="E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24" hidden="0" customWidth="1"/>
    <x:col min="4" max="4" width="20" hidden="0" customWidth="1"/>
    <x:col min="5" max="5" width="28" hidden="0" customWidth="1"/>
    <x:col min="6" max="6" width="34" hidden="0" customWidth="1"/>
    <x:col min="7" max="7" width="36" hidden="0" customWidth="1"/>
    <x:col min="8" max="8" width="42" hidden="0" customWidth="1"/>
    <x:col min="9" max="9" width="18" hidden="0" customWidth="1"/>
    <x:col min="10" max="10" width="12" hidden="0" customWidth="1"/>
    <x:col min="11" max="11" width="18" hidden="0" customWidth="1"/>
  </x:cols>
  <x:sheetData>
    <x:row r="1">
      <x:c r="A1" s="5" t="str">
        <x:v>Матрица утверждений</x:v>
      </x:c>
      <x:c r="B1" s="6"/>
      <x:c r="C1" s="6"/>
      <x:c r="D1" s="6"/>
      <x:c r="E1" s="6"/>
      <x:c r="F1" s="6"/>
      <x:c r="G1" s="6"/>
      <x:c r="H1" s="6"/>
      <x:c r="I1" s="6"/>
      <x:c r="J1" s="6"/>
      <x:c r="K1" s="7"/>
    </x:row>
    <x:row r="2">
      <x:c r="A2" s="12" t="str">
        <x:v>Правило</x:v>
      </x:c>
      <x:c r="B2" s="12" t="str">
        <x:v>Любое утверждение должно иметь статус: факт, гипотеза, модельный расчет или неподтвержденное. Финансовый эффект формулируется только как проверяемая зона потерь до появления данных клиента.</x:v>
      </x:c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 t="str">
        <x:v>Источник</x:v>
      </x:c>
      <x:c r="B3" s="12" t="str">
        <x:v>ТЗ P1C, продукты-сроки-цены, методология, рабочие книги, кейсы и итоговый отчет Диагностики.</x:v>
      </x:c>
      <x:c r="C3" s="12"/>
      <x:c r="D3" s="12"/>
      <x:c r="E3" s="12"/>
      <x:c r="F3" s="12"/>
      <x:c r="G3" s="12"/>
      <x:c r="H3" s="12"/>
      <x:c r="I3" s="12"/>
      <x:c r="J3" s="12"/>
      <x:c r="K3" s="12"/>
    </x:row>
    <x:row r="5">
      <x:c r="A5" s="25" t="str">
        <x:v>ID</x:v>
      </x:c>
      <x:c r="B5" s="25" t="str">
        <x:v>Утверждение</x:v>
      </x:c>
      <x:c r="C5" s="25" t="str">
        <x:v>Где используется</x:v>
      </x:c>
      <x:c r="D5" s="25" t="str">
        <x:v>Статус</x:v>
      </x:c>
      <x:c r="E5" s="25" t="str">
        <x:v>Источник правды</x:v>
      </x:c>
      <x:c r="F5" s="25" t="str">
        <x:v>Условие применения</x:v>
      </x:c>
      <x:c r="G5" s="25" t="str">
        <x:v>Запрещенная версия</x:v>
      </x:c>
      <x:c r="H5" s="25" t="str">
        <x:v>Разрешенная формулировка</x:v>
      </x:c>
      <x:c r="I5" s="25" t="str">
        <x:v>Владелец</x:v>
      </x:c>
      <x:c r="J5" s="25" t="str">
        <x:v>Риск</x:v>
      </x:c>
      <x:c r="K5" s="25" t="str">
        <x:v>Действие</x:v>
      </x:c>
    </x:row>
    <x:row r="6">
      <x:c r="A6" s="12" t="str">
        <x:v>CLM-01</x:v>
      </x:c>
      <x:c r="B6" s="12" t="str">
        <x:v>Контур Маржи управляет ассортиментной прибылью в омниканальных продажах.</x:v>
      </x:c>
      <x:c r="C6" s="12" t="str">
        <x:v>сайт, КП, первый разговор</x:v>
      </x:c>
      <x:c r="D6" s="12" t="str">
        <x:v>факт</x:v>
      </x:c>
      <x:c r="E6" s="12" t="str">
        <x:v>Методология, продукты, карта комплекта</x:v>
      </x:c>
      <x:c r="F6" s="12" t="str">
        <x:v>Говорить как описание технологии.</x:v>
      </x:c>
      <x:c r="G6" s="12" t="str">
        <x:v>Мы гарантируем рост прибыли.</x:v>
      </x:c>
      <x:c r="H6" s="12" t="str">
        <x:v>Технология показывает, где ассортимент теряет прибыль, и переводит это в управленческие решения.</x:v>
      </x:c>
      <x:c r="I6" s="12" t="str">
        <x:v>маркетинг</x:v>
      </x:c>
      <x:c r="J6" s="12" t="str">
        <x:v>средний</x:v>
      </x:c>
      <x:c r="K6" s="12" t="str">
        <x:v>использовать</x:v>
      </x:c>
    </x:row>
    <x:row r="7">
      <x:c r="A7" s="12" t="str">
        <x:v>CLM-02</x:v>
      </x:c>
      <x:c r="B7" s="12" t="str">
        <x:v>Минимальная единица анализа - SKU / товарная позиция x канал.</x:v>
      </x:c>
      <x:c r="C7" s="12" t="str">
        <x:v>методология, Диагностика, Сессия</x:v>
      </x:c>
      <x:c r="D7" s="12" t="str">
        <x:v>факт</x:v>
      </x:c>
      <x:c r="E7" s="12" t="str">
        <x:v>ТЗ, рабочие книги, методология</x:v>
      </x:c>
      <x:c r="F7" s="12" t="str">
        <x:v>Говорить как ядро технологии.</x:v>
      </x:c>
      <x:c r="G7" s="12" t="str">
        <x:v>Мы анализируем бизнес вообще.</x:v>
      </x:c>
      <x:c r="H7" s="12" t="str">
        <x:v>Рабочая единица технологии: SKU / товарная позиция x канал.</x:v>
      </x:c>
      <x:c r="I7" s="12" t="str">
        <x:v>методолог</x:v>
      </x:c>
      <x:c r="J7" s="12" t="str">
        <x:v>низкий</x:v>
      </x:c>
      <x:c r="K7" s="12" t="str">
        <x:v>использовать</x:v>
      </x:c>
    </x:row>
    <x:row r="8">
      <x:c r="A8" s="12" t="str">
        <x:v>CLM-03</x:v>
      </x:c>
      <x:c r="B8" s="12" t="str">
        <x:v>Диагностика является платным входом и фильтром.</x:v>
      </x:c>
      <x:c r="C8" s="12" t="str">
        <x:v>продажа, первый разговор</x:v>
      </x:c>
      <x:c r="D8" s="12" t="str">
        <x:v>факт</x:v>
      </x:c>
      <x:c r="E8" s="12" t="str">
        <x:v>Продукты, сроки и цены; ТЗ P1C</x:v>
      </x:c>
      <x:c r="F8" s="12" t="str">
        <x:v>Говорить до продажи Диагностики.</x:v>
      </x:c>
      <x:c r="G8" s="12" t="str">
        <x:v>Давайте сделаем бесплатную диагностику.</x:v>
      </x:c>
      <x:c r="H8" s="12" t="str">
        <x:v>Диагностика - отдельный платный продукт: карта данных, карта потерь, 12 метрик и вердикт.</x:v>
      </x:c>
      <x:c r="I8" s="12" t="str">
        <x:v>продажи</x:v>
      </x:c>
      <x:c r="J8" s="12" t="str">
        <x:v>высокий</x:v>
      </x:c>
      <x:c r="K8" s="12" t="str">
        <x:v>использовать</x:v>
      </x:c>
    </x:row>
    <x:row r="9">
      <x:c r="A9" s="12" t="str">
        <x:v>CLM-04</x:v>
      </x:c>
      <x:c r="B9" s="12" t="str">
        <x:v>За 90 дней можно собрать рабочий контур управления на ограниченном участке.</x:v>
      </x:c>
      <x:c r="C9" s="12" t="str">
        <x:v>КП, Спринт</x:v>
      </x:c>
      <x:c r="D9" s="12" t="str">
        <x:v>гипотеза</x:v>
      </x:c>
      <x:c r="E9" s="12" t="str">
        <x:v>Описание Спринта, цены</x:v>
      </x:c>
      <x:c r="F9" s="12" t="str">
        <x:v>Только если после Сессии есть решения, владельцы и объект Спринта.</x:v>
      </x:c>
      <x:c r="G9" s="12" t="str">
        <x:v>За 90 дней увеличим прибыль.</x:v>
      </x:c>
      <x:c r="H9" s="12" t="str">
        <x:v>За 90 дней проверяем и внедряем контур решений на согласованном участке.</x:v>
      </x:c>
      <x:c r="I9" s="12" t="str">
        <x:v>консультант</x:v>
      </x:c>
      <x:c r="J9" s="12" t="str">
        <x:v>высокий</x:v>
      </x:c>
      <x:c r="K9" s="12" t="str">
        <x:v>проверять условия</x:v>
      </x:c>
    </x:row>
    <x:row r="10">
      <x:c r="A10" s="12" t="str">
        <x:v>CLM-05</x:v>
      </x:c>
      <x:c r="B10" s="12" t="str">
        <x:v>Карта потерь показывает зоны, где прибыль может исчезать.</x:v>
      </x:c>
      <x:c r="C10" s="12" t="str">
        <x:v>Диагностика, отчет</x:v>
      </x:c>
      <x:c r="D10" s="12" t="str">
        <x:v>факт</x:v>
      </x:c>
      <x:c r="E10" s="12" t="str">
        <x:v>Итоговый отчет Диагностики, рабочая книга</x:v>
      </x:c>
      <x:c r="F10" s="12" t="str">
        <x:v>После анализа данных или как структура будущей проверки.</x:v>
      </x:c>
      <x:c r="G10" s="12" t="str">
        <x:v>Мы уже знаем, где вы теряете деньги.</x:v>
      </x:c>
      <x:c r="H10" s="12" t="str">
        <x:v>Диагностика покажет, где искать потери: комиссия, промо, запас, логистика, возврат, цена или канал.</x:v>
      </x:c>
      <x:c r="I10" s="12" t="str">
        <x:v>консультант</x:v>
      </x:c>
      <x:c r="J10" s="12" t="str">
        <x:v>средний</x:v>
      </x:c>
      <x:c r="K10" s="12" t="str">
        <x:v>использовать</x:v>
      </x:c>
    </x:row>
    <x:row r="11">
      <x:c r="A11" s="12" t="str">
        <x:v>CLM-06</x:v>
      </x:c>
      <x:c r="B11" s="12" t="str">
        <x:v>12 метрик помогают увидеть качество контура.</x:v>
      </x:c>
      <x:c r="C11" s="12" t="str">
        <x:v>Диагностика, Сессия</x:v>
      </x:c>
      <x:c r="D11" s="12" t="str">
        <x:v>факт</x:v>
      </x:c>
      <x:c r="E11" s="12" t="str">
        <x:v>Карта метрик и расчетов</x:v>
      </x:c>
      <x:c r="F11" s="12" t="str">
        <x:v>Только с указанием статуса данных.</x:v>
      </x:c>
      <x:c r="G11" s="12" t="str">
        <x:v>12 метрик точно докажут эффект.</x:v>
      </x:c>
      <x:c r="H11" s="12" t="str">
        <x:v>12 метрик дают проверяемую структуру анализа; часть выводов может требовать уточнения данных.</x:v>
      </x:c>
      <x:c r="I11" s="12" t="str">
        <x:v>методолог</x:v>
      </x:c>
      <x:c r="J11" s="12" t="str">
        <x:v>средний</x:v>
      </x:c>
      <x:c r="K11" s="12" t="str">
        <x:v>использовать</x:v>
      </x:c>
    </x:row>
    <x:row r="12">
      <x:c r="A12" s="12" t="str">
        <x:v>CLM-07</x:v>
      </x:c>
      <x:c r="B12" s="12" t="str">
        <x:v>Модельные кейсы показывают применение технологии.</x:v>
      </x:c>
      <x:c r="C12" s="12" t="str">
        <x:v>продажа Диагностики, обучение</x:v>
      </x:c>
      <x:c r="D12" s="12" t="str">
        <x:v>модельный расчет</x:v>
      </x:c>
      <x:c r="E12" s="12" t="str">
        <x:v>Каталог кейсов и 12 кейсов</x:v>
      </x:c>
      <x:c r="F12" s="12" t="str">
        <x:v>Только с маркировкой модельный кейс-пример.</x:v>
      </x:c>
      <x:c r="G12" s="12" t="str">
        <x:v>У нас был клиент, и мы ему подняли прибыль.</x:v>
      </x:c>
      <x:c r="H12" s="12" t="str">
        <x:v>Модельный кейс показывает типовую ситуацию и логику применения технологии.</x:v>
      </x:c>
      <x:c r="I12" s="12" t="str">
        <x:v>контент</x:v>
      </x:c>
      <x:c r="J12" s="12" t="str">
        <x:v>высокий</x:v>
      </x:c>
      <x:c r="K12" s="12" t="str">
        <x:v>маркировать</x:v>
      </x:c>
    </x:row>
    <x:row r="13">
      <x:c r="A13" s="12" t="str">
        <x:v>CLM-08</x:v>
      </x:c>
      <x:c r="B13" s="12" t="str">
        <x:v>Контур Маржи не является BI / бизнес-аналитикой.</x:v>
      </x:c>
      <x:c r="C13" s="12" t="str">
        <x:v>сайт, КП, возражения</x:v>
      </x:c>
      <x:c r="D13" s="12" t="str">
        <x:v>факт</x:v>
      </x:c>
      <x:c r="E13" s="12" t="str">
        <x:v>ТЗ P1C, маршрут консультанта</x:v>
      </x:c>
      <x:c r="F13" s="12" t="str">
        <x:v>При отстройке от рынка.</x:v>
      </x:c>
      <x:c r="G13" s="12" t="str">
        <x:v>Мы делаем вам BI.</x:v>
      </x:c>
      <x:c r="H13" s="12" t="str">
        <x:v>Панель может быть артефактом, но продуктом является управленческий контур решений.</x:v>
      </x:c>
      <x:c r="I13" s="12" t="str">
        <x:v>маркетинг</x:v>
      </x:c>
      <x:c r="J13" s="12" t="str">
        <x:v>высокий</x:v>
      </x:c>
      <x:c r="K13" s="12" t="str">
        <x:v>использовать</x:v>
      </x:c>
    </x:row>
    <x:row r="14">
      <x:c r="A14" s="12" t="str">
        <x:v>CLM-09</x:v>
      </x:c>
      <x:c r="B14" s="12" t="str">
        <x:v>Контур Маржи не является аудитом маркетплейсов.</x:v>
      </x:c>
      <x:c r="C14" s="12" t="str">
        <x:v>первый разговор, сайт</x:v>
      </x:c>
      <x:c r="D14" s="12" t="str">
        <x:v>факт</x:v>
      </x:c>
      <x:c r="E14" s="12" t="str">
        <x:v>ТЗ P1C, первый разговор</x:v>
      </x:c>
      <x:c r="F14" s="12" t="str">
        <x:v>Если клиент сводит задачу к маркетплейсам.</x:v>
      </x:c>
      <x:c r="G14" s="12" t="str">
        <x:v>Мы оптимизируем Ozon/WB.</x:v>
      </x:c>
      <x:c r="H14" s="12" t="str">
        <x:v>Маркетплейс может быть каналом анализа, но технология шире: SKU / товарная позиция x канал x цена x запас x комиссия.</x:v>
      </x:c>
      <x:c r="I14" s="12" t="str">
        <x:v>продажи</x:v>
      </x:c>
      <x:c r="J14" s="12" t="str">
        <x:v>средний</x:v>
      </x:c>
      <x:c r="K14" s="12" t="str">
        <x:v>использовать</x:v>
      </x:c>
    </x:row>
    <x:row r="15">
      <x:c r="A15" s="12" t="str">
        <x:v>CLM-10</x:v>
      </x:c>
      <x:c r="B15" s="12" t="str">
        <x:v>Стоп-решение после Диагностики является нормальным результатом.</x:v>
      </x:c>
      <x:c r="C15" s="12" t="str">
        <x:v>Диагностика, кейс 09</x:v>
      </x:c>
      <x:c r="D15" s="12" t="str">
        <x:v>факт</x:v>
      </x:c>
      <x:c r="E15" s="12" t="str">
        <x:v>Итоговый отчет Диагностики, кейс 09</x:v>
      </x:c>
      <x:c r="F15" s="12" t="str">
        <x:v>Если данные несводимы или нет владельцев.</x:v>
      </x:c>
      <x:c r="G15" s="12" t="str">
        <x:v>Мы всегда доводим до внедрения.</x:v>
      </x:c>
      <x:c r="H15" s="12" t="str">
        <x:v>Если данных, владельцев или цены ошибки недостаточно, Диагностика может завершиться стоп-решением.</x:v>
      </x:c>
      <x:c r="I15" s="12" t="str">
        <x:v>консультант</x:v>
      </x:c>
      <x:c r="J15" s="12" t="str">
        <x:v>высокий</x:v>
      </x:c>
      <x:c r="K15" s="12" t="str">
        <x:v>использовать</x:v>
      </x:c>
    </x:row>
    <x:row r="16">
      <x:c r="A16" s="12" t="str">
        <x:v>CLM-11</x:v>
      </x:c>
      <x:c r="B16" s="12" t="str">
        <x:v>Цены продукта берутся только из документа продуктов, сроков и цен.</x:v>
      </x:c>
      <x:c r="C16" s="12" t="str">
        <x:v>КП, переговоры</x:v>
      </x:c>
      <x:c r="D16" s="12" t="str">
        <x:v>факт</x:v>
      </x:c>
      <x:c r="E16" s="12" t="str">
        <x:v>Продукты, сроки и цены</x:v>
      </x:c>
      <x:c r="F16" s="12" t="str">
        <x:v>Всегда.</x:v>
      </x:c>
      <x:c r="G16" s="12" t="str">
        <x:v>Назовем любую удобную цену.</x:v>
      </x:c>
      <x:c r="H16" s="12" t="str">
        <x:v>Цены и диапазоны сверяются с документом продуктов, сроков и цен.</x:v>
      </x:c>
      <x:c r="I16" s="12" t="str">
        <x:v>продажи</x:v>
      </x:c>
      <x:c r="J16" s="12" t="str">
        <x:v>высокий</x:v>
      </x:c>
      <x:c r="K16" s="12" t="str">
        <x:v>использовать</x:v>
      </x:c>
    </x:row>
    <x:row r="17">
      <x:c r="A17" s="12" t="str">
        <x:v>CLM-12</x:v>
      </x:c>
      <x:c r="B17" s="12" t="str">
        <x:v>Эффект зависит от данных, решений, владельцев и права менять параметры.</x:v>
      </x:c>
      <x:c r="C17" s="12" t="str">
        <x:v>КП, первый разговор</x:v>
      </x:c>
      <x:c r="D17" s="12" t="str">
        <x:v>факт</x:v>
      </x:c>
      <x:c r="E17" s="12" t="str">
        <x:v>Продукты, сроки и цены; маршрут консультанта</x:v>
      </x:c>
      <x:c r="F17" s="12" t="str">
        <x:v>Всегда при разговоре об эффекте.</x:v>
      </x:c>
      <x:c r="G17" s="12" t="str">
        <x:v>Эффект будет в любом случае.</x:v>
      </x:c>
      <x:c r="H17" s="12" t="str">
        <x:v>Результат возможен только при данных, владельцах решений и готовности менять цену, промо, канал, запас или SKU.</x:v>
      </x:c>
      <x:c r="I17" s="12" t="str">
        <x:v>консультант</x:v>
      </x:c>
      <x:c r="J17" s="12" t="str">
        <x:v>высокий</x:v>
      </x:c>
      <x:c r="K17" s="12" t="str">
        <x:v>использовать</x:v>
      </x:c>
    </x:row>
    <x:row r="18">
      <x:c r="A18" s="12" t="str">
        <x:v>CLM-13</x:v>
      </x:c>
      <x:c r="B18" s="12" t="str">
        <x:v>Цена ошибки помогает обосновать покупку Диагностики.</x:v>
      </x:c>
      <x:c r="C18" s="12" t="str">
        <x:v>первый разговор, КП</x:v>
      </x:c>
      <x:c r="D18" s="12" t="str">
        <x:v>гипотеза</x:v>
      </x:c>
      <x:c r="E18" s="12" t="str">
        <x:v>Продукты, сроки и цены</x:v>
      </x:c>
      <x:c r="F18" s="12" t="str">
        <x:v>Только как рамка риска до расчета.</x:v>
      </x:c>
      <x:c r="G18" s="12" t="str">
        <x:v>Вы точно теряете X млн руб.</x:v>
      </x:c>
      <x:c r="H18" s="12" t="str">
        <x:v>На первом разговоре цена ошибки обсуждается как гипотеза, Диагностика проверяет ее на данных.</x:v>
      </x:c>
      <x:c r="I18" s="12" t="str">
        <x:v>продажи</x:v>
      </x:c>
      <x:c r="J18" s="12" t="str">
        <x:v>средний</x:v>
      </x:c>
      <x:c r="K18" s="12" t="str">
        <x:v>проверять условия</x:v>
      </x:c>
    </x:row>
    <x:row r="19">
      <x:c r="A19" s="12" t="str">
        <x:v>CLM-14</x:v>
      </x:c>
      <x:c r="B19" s="12" t="str">
        <x:v>Контур Маржи не является Excel-набором.</x:v>
      </x:c>
      <x:c r="C19" s="12" t="str">
        <x:v>сайт, КП, возражения</x:v>
      </x:c>
      <x:c r="D19" s="12" t="str">
        <x:v>факт</x:v>
      </x:c>
      <x:c r="E19" s="12" t="str">
        <x:v>ТЗ P1C, акт рабочих книг</x:v>
      </x:c>
      <x:c r="F19" s="12" t="str">
        <x:v>При защите ценности.</x:v>
      </x:c>
      <x:c r="G19" s="12" t="str">
        <x:v>Купите наши таблицы.</x:v>
      </x:c>
      <x:c r="H19" s="12" t="str">
        <x:v>Рабочие книги являются инструментами проведения технологии, но не самостоятельным продуктом.</x:v>
      </x:c>
      <x:c r="I19" s="12" t="str">
        <x:v>маркетинг</x:v>
      </x:c>
      <x:c r="J19" s="12" t="str">
        <x:v>высокий</x:v>
      </x:c>
      <x:c r="K19" s="12" t="str">
        <x:v>использовать</x:v>
      </x:c>
    </x:row>
    <x:row r="20">
      <x:c r="A20" s="12" t="str">
        <x:v>CLM-15</x:v>
      </x:c>
      <x:c r="B20" s="12" t="str">
        <x:v>Юридические и регуляторные утверждения требуют отдельного фактчека.</x:v>
      </x:c>
      <x:c r="C20" s="12" t="str">
        <x:v>КП, методология</x:v>
      </x:c>
      <x:c r="D20" s="12" t="str">
        <x:v>факт</x:v>
      </x:c>
      <x:c r="E20" s="12" t="str">
        <x:v>Решение автора, ТЗ</x:v>
      </x:c>
      <x:c r="F20" s="12" t="str">
        <x:v>Если тема касается закона, площадок, договоров или регулирования.</x:v>
      </x:c>
      <x:c r="G20" s="12" t="str">
        <x:v>Мы гарантируем юридическую чистоту.</x:v>
      </x:c>
      <x:c r="H20" s="12" t="str">
        <x:v>Юридические блоки проверяются отдельно и не входят в обещание технологии без фактчека.</x:v>
      </x:c>
      <x:c r="I20" s="12" t="str">
        <x:v>автор</x:v>
      </x:c>
      <x:c r="J20" s="12" t="str">
        <x:v>высокий</x:v>
      </x:c>
      <x:c r="K20" s="12" t="str">
        <x:v>ограничить</x:v>
      </x:c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</x:sheetData>
  <x:mergeCells>
    <x:mergeCell ref="A1:K1"/>
    <x:mergeCell ref="B2:K2"/>
    <x:mergeCell ref="B3:K3"/>
  </x:mergeCells>
  <x:dataValidations count="2">
    <x:dataValidation type="list" sqref="D6:D80">
      <x:formula1>"факт,гипотеза,модельный расчет,неподтвержденное"</x:formula1>
    </x:dataValidation>
    <x:dataValidation type="list" sqref="J6:J80">
      <x:formula1>"низкий,средний,высокий"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36" hidden="0" customWidth="1"/>
  </x:cols>
  <x:sheetData>
    <x:row r="1">
      <x:c r="A1" s="5" t="str">
        <x:v>Статусы доказательности</x:v>
      </x:c>
      <x:c r="B1" s="6"/>
      <x:c r="C1" s="6"/>
      <x:c r="D1" s="7"/>
    </x:row>
    <x:row r="3">
      <x:c r="A3" s="25" t="str">
        <x:v>Статус</x:v>
      </x:c>
      <x:c r="B3" s="25" t="str">
        <x:v>Можно говорить</x:v>
      </x:c>
      <x:c r="C3" s="25" t="str">
        <x:v>Нельзя говорить</x:v>
      </x:c>
      <x:c r="D3" s="25" t="str">
        <x:v>Пример маркировки</x:v>
      </x:c>
    </x:row>
    <x:row r="4">
      <x:c r="A4" s="12" t="str">
        <x:v>факт</x:v>
      </x:c>
      <x:c r="B4" s="12" t="str">
        <x:v>Проверено в документах комплекта или в данных клиента.</x:v>
      </x:c>
      <x:c r="C4" s="12" t="str">
        <x:v>Обобщать на всех клиентов без условия.</x:v>
      </x:c>
      <x:c r="D4" s="12" t="str">
        <x:v>Подтверждено документом / данными клиента.</x:v>
      </x:c>
    </x:row>
    <x:row r="5">
      <x:c r="A5" s="12" t="str">
        <x:v>гипотеза</x:v>
      </x:c>
      <x:c r="B5" s="12" t="str">
        <x:v>Предположение для проверки на Диагностике.</x:v>
      </x:c>
      <x:c r="C5" s="12" t="str">
        <x:v>Выдавать за установленный факт.</x:v>
      </x:c>
      <x:c r="D5" s="12" t="str">
        <x:v>Гипотеза до выгрузки данных.</x:v>
      </x:c>
    </x:row>
    <x:row r="6">
      <x:c r="A6" s="12" t="str">
        <x:v>модельный расчет</x:v>
      </x:c>
      <x:c r="B6" s="12" t="str">
        <x:v>Обучение, пример, продажа Диагностики.</x:v>
      </x:c>
      <x:c r="C6" s="12" t="str">
        <x:v>Выдавать за реальный клиентский результат.</x:v>
      </x:c>
      <x:c r="D6" s="12" t="str">
        <x:v>Модельный кейс-пример.</x:v>
      </x:c>
    </x:row>
    <x:row r="7">
      <x:c r="A7" s="12" t="str">
        <x:v>неподтвержденное</x:v>
      </x:c>
      <x:c r="B7" s="12" t="str">
        <x:v>Не использовать как утверждение.</x:v>
      </x:c>
      <x:c r="C7" s="12" t="str">
        <x:v>Включать в КП, сайт или презентацию.</x:v>
      </x:c>
      <x:c r="D7" s="12" t="str">
        <x:v>Требует проверки / не использовать публично.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38" hidden="0" customWidth="1"/>
    <x:col min="4" max="4" width="42" hidden="0" customWidth="1"/>
    <x:col min="5" max="5" width="14" hidden="0" customWidth="1"/>
  </x:cols>
  <x:sheetData>
    <x:row r="1">
      <x:c r="A1" s="5" t="str">
        <x:v>Чем не является Контур Маржи</x:v>
      </x:c>
      <x:c r="B1" s="6"/>
      <x:c r="C1" s="6"/>
      <x:c r="D1" s="6"/>
      <x:c r="E1" s="7"/>
    </x:row>
    <x:row r="3">
      <x:c r="A3" s="25" t="str">
        <x:v>Ложная категория</x:v>
      </x:c>
      <x:c r="B3" s="25" t="str">
        <x:v>Почему опасно</x:v>
      </x:c>
      <x:c r="C3" s="25" t="str">
        <x:v>Как отвечать</x:v>
      </x:c>
      <x:c r="D3" s="25" t="str">
        <x:v>Разрешенная формулировка</x:v>
      </x:c>
      <x:c r="E3" s="25" t="str">
        <x:v>Риск</x:v>
      </x:c>
    </x:row>
    <x:row r="4">
      <x:c r="A4" s="12" t="str">
        <x:v>BI / бизнес-аналитика</x:v>
      </x:c>
      <x:c r="B4" s="12" t="str">
        <x:v>Клиент ждет панель вместо решений.</x:v>
      </x:c>
      <x:c r="C4" s="12" t="str">
        <x:v>Сначала формулы, пороги, владельцы и ритм.</x:v>
      </x:c>
      <x:c r="D4" s="12" t="str">
        <x:v>Панель может быть артефактом, но технология - контур решений.</x:v>
      </x:c>
      <x:c r="E4" s="12" t="str">
        <x:v>высокий</x:v>
      </x:c>
    </x:row>
    <x:row r="5">
      <x:c r="A5" s="12" t="str">
        <x:v>P&amp;L / отчет о прибылях и убытках</x:v>
      </x:c>
      <x:c r="B5" s="12" t="str">
        <x:v>Клиент видит только финансовый отчет.</x:v>
      </x:c>
      <x:c r="C5" s="12" t="str">
        <x:v>Мы связываем P&amp;L с SKU, каналом и управленческими решениями.</x:v>
      </x:c>
      <x:c r="D5" s="12" t="str">
        <x:v>P&amp;L - один из языков контура, не весь продукт.</x:v>
      </x:c>
      <x:c r="E5" s="12" t="str">
        <x:v>средний</x:v>
      </x:c>
    </x:row>
    <x:row r="6">
      <x:c r="A6" s="12" t="str">
        <x:v>Excel-набор</x:v>
      </x:c>
      <x:c r="B6" s="12" t="str">
        <x:v>Обесценивает технологию до файлов.</x:v>
      </x:c>
      <x:c r="C6" s="12" t="str">
        <x:v>Файлы нужны для проведения, но ценность в переходе к решениям.</x:v>
      </x:c>
      <x:c r="D6" s="12" t="str">
        <x:v>Рабочие книги не продаются отдельно от технологии.</x:v>
      </x:c>
      <x:c r="E6" s="12" t="str">
        <x:v>высокий</x:v>
      </x:c>
    </x:row>
    <x:row r="7">
      <x:c r="A7" s="12" t="str">
        <x:v>Аудит маркетплейсов</x:v>
      </x:c>
      <x:c r="B7" s="12" t="str">
        <x:v>Сужает технологию до одного канала.</x:v>
      </x:c>
      <x:c r="C7" s="12" t="str">
        <x:v>Маркетплейс - только один возможный канал.</x:v>
      </x:c>
      <x:c r="D7" s="12" t="str">
        <x:v>Контур смотрит SKU / товарная позиция x канал x прибыль.</x:v>
      </x:c>
      <x:c r="E7" s="12" t="str">
        <x:v>средний</x:v>
      </x:c>
    </x:row>
    <x:row r="8">
      <x:c r="A8" s="12" t="str">
        <x:v>Категорийный менеджмент</x:v>
      </x:c>
      <x:c r="B8" s="12" t="str">
        <x:v>Сводит технологию к ассортиментной полке.</x:v>
      </x:c>
      <x:c r="C8" s="12" t="str">
        <x:v>Отстройка через канал, комиссию, запас, цену, ответственность.</x:v>
      </x:c>
      <x:c r="D8" s="12" t="str">
        <x:v>Контур Маржи дополняет категорийный подход финансовым управлением SKU x канал.</x:v>
      </x:c>
      <x:c r="E8" s="12" t="str">
        <x:v>средний</x:v>
      </x:c>
    </x:row>
  </x:sheetData>
  <x:mergeCells>
    <x:mergeCell ref="A1:E1"/>
  </x:mergeCells>
  <x:dataValidations count="1">
    <x:dataValidation type="list" sqref="E4:E20">
      <x:formula1>"низкий,средний,высокий"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20" hidden="0" customWidth="1"/>
    <x:col min="4" max="4" width="18" hidden="0" customWidth="1"/>
    <x:col min="5" max="5" width="14" hidden="0" customWidth="1"/>
    <x:col min="6" max="6" width="22" hidden="0" customWidth="1"/>
    <x:col min="7" max="7" width="16" hidden="0" customWidth="1"/>
  </x:cols>
  <x:sheetData>
    <x:row r="1">
      <x:c r="A1" s="5" t="str">
        <x:v>Проверка утверждений перед публикацией</x:v>
      </x:c>
      <x:c r="B1" s="6"/>
      <x:c r="C1" s="6"/>
      <x:c r="D1" s="6"/>
      <x:c r="E1" s="6"/>
      <x:c r="F1" s="6"/>
      <x:c r="G1" s="7"/>
    </x:row>
    <x:row r="3">
      <x:c r="A3" s="25" t="str">
        <x:v>ID</x:v>
      </x:c>
      <x:c r="B3" s="25" t="str">
        <x:v>Утверждение</x:v>
      </x:c>
      <x:c r="C3" s="25" t="str">
        <x:v>Статус</x:v>
      </x:c>
      <x:c r="D3" s="25" t="str">
        <x:v>Источник есть</x:v>
      </x:c>
      <x:c r="E3" s="25" t="str">
        <x:v>Риск</x:v>
      </x:c>
      <x:c r="F3" s="25" t="str">
        <x:v>Можно публично</x:v>
      </x:c>
      <x:c r="G3" s="25" t="str">
        <x:v>Вердикт</x:v>
      </x:c>
    </x:row>
    <x:row r="6">
      <x:c r="A6" s="12" t="str">
        <x:v>CLM-01</x:v>
      </x:c>
      <x:c r="B6" s="12" t="str">
        <x:v>Контур Маржи управляет ассортиментной прибылью в омниканальных продажах.</x:v>
      </x:c>
      <x:c r="C6" s="12" t="str">
        <x:v>факт</x:v>
      </x:c>
      <x:c r="D6" s="12" t="str">
        <x:v>да</x:v>
      </x:c>
      <x:c r="E6" s="12" t="str">
        <x:v>средний</x:v>
      </x:c>
      <x:c r="F6" s="12" t="str">
        <x:f>IF(OR(C6="факт",C6="модельный расчет"),"да с условиями","нет без проверки")</x:f>
        <x:v>да с условиями</x:v>
      </x:c>
      <x:c r="G6" s="12" t="str">
        <x:f>IF(AND(E6="высокий",F6="нет без проверки"),"править","ок")</x:f>
        <x:v>ок</x:v>
      </x:c>
    </x:row>
    <x:row r="7">
      <x:c r="A7" s="12" t="str">
        <x:v>CLM-02</x:v>
      </x:c>
      <x:c r="B7" s="12" t="str">
        <x:v>Минимальная единица анализа - SKU / товарная позиция x канал.</x:v>
      </x:c>
      <x:c r="C7" s="12" t="str">
        <x:v>факт</x:v>
      </x:c>
      <x:c r="D7" s="12" t="str">
        <x:v>да</x:v>
      </x:c>
      <x:c r="E7" s="12" t="str">
        <x:v>низкий</x:v>
      </x:c>
      <x:c r="F7" s="12" t="str">
        <x:f>IF(OR(C7="факт",C7="модельный расчет"),"да с условиями","нет без проверки")</x:f>
        <x:v>да с условиями</x:v>
      </x:c>
      <x:c r="G7" s="12" t="str">
        <x:f>IF(AND(E7="высокий",F7="нет без проверки"),"править","ок")</x:f>
        <x:v>ок</x:v>
      </x:c>
    </x:row>
    <x:row r="8">
      <x:c r="A8" s="12" t="str">
        <x:v>CLM-03</x:v>
      </x:c>
      <x:c r="B8" s="12" t="str">
        <x:v>Диагностика является платным входом и фильтром.</x:v>
      </x:c>
      <x:c r="C8" s="12" t="str">
        <x:v>факт</x:v>
      </x:c>
      <x:c r="D8" s="12" t="str">
        <x:v>да</x:v>
      </x:c>
      <x:c r="E8" s="12" t="str">
        <x:v>высокий</x:v>
      </x:c>
      <x:c r="F8" s="12" t="str">
        <x:f>IF(OR(C8="факт",C8="модельный расчет"),"да с условиями","нет без проверки")</x:f>
        <x:v>да с условиями</x:v>
      </x:c>
      <x:c r="G8" s="12" t="str">
        <x:f>IF(AND(E8="высокий",F8="нет без проверки"),"править","ок")</x:f>
        <x:v>ок</x:v>
      </x:c>
    </x:row>
    <x:row r="9">
      <x:c r="A9" s="12" t="str">
        <x:v>CLM-04</x:v>
      </x:c>
      <x:c r="B9" s="12" t="str">
        <x:v>За 90 дней можно собрать рабочий контур управления на ограниченном участке.</x:v>
      </x:c>
      <x:c r="C9" s="12" t="str">
        <x:v>гипотеза</x:v>
      </x:c>
      <x:c r="D9" s="12" t="str">
        <x:v>да</x:v>
      </x:c>
      <x:c r="E9" s="12" t="str">
        <x:v>высокий</x:v>
      </x:c>
      <x:c r="F9" s="12" t="str">
        <x:f>IF(OR(C9="факт",C9="модельный расчет"),"да с условиями","нет без проверки")</x:f>
        <x:v>нет без проверки</x:v>
      </x:c>
      <x:c r="G9" s="12" t="str">
        <x:f>IF(AND(E9="высокий",F9="нет без проверки"),"править","ок")</x:f>
        <x:v>править</x:v>
      </x:c>
    </x:row>
    <x:row r="10">
      <x:c r="A10" s="12" t="str">
        <x:v>CLM-05</x:v>
      </x:c>
      <x:c r="B10" s="12" t="str">
        <x:v>Карта потерь показывает зоны, где прибыль может исчезать.</x:v>
      </x:c>
      <x:c r="C10" s="12" t="str">
        <x:v>факт</x:v>
      </x:c>
      <x:c r="D10" s="12" t="str">
        <x:v>да</x:v>
      </x:c>
      <x:c r="E10" s="12" t="str">
        <x:v>средний</x:v>
      </x:c>
      <x:c r="F10" s="12" t="str">
        <x:f>IF(OR(C10="факт",C10="модельный расчет"),"да с условиями","нет без проверки")</x:f>
        <x:v>да с условиями</x:v>
      </x:c>
      <x:c r="G10" s="12" t="str">
        <x:f>IF(AND(E10="высокий",F10="нет без проверки"),"править","ок")</x:f>
        <x:v>ок</x:v>
      </x:c>
    </x:row>
    <x:row r="11">
      <x:c r="A11" s="12" t="str">
        <x:v>CLM-06</x:v>
      </x:c>
      <x:c r="B11" s="12" t="str">
        <x:v>12 метрик помогают увидеть качество контура.</x:v>
      </x:c>
      <x:c r="C11" s="12" t="str">
        <x:v>факт</x:v>
      </x:c>
      <x:c r="D11" s="12" t="str">
        <x:v>да</x:v>
      </x:c>
      <x:c r="E11" s="12" t="str">
        <x:v>средний</x:v>
      </x:c>
      <x:c r="F11" s="12" t="str">
        <x:f>IF(OR(C11="факт",C11="модельный расчет"),"да с условиями","нет без проверки")</x:f>
        <x:v>да с условиями</x:v>
      </x:c>
      <x:c r="G11" s="12" t="str">
        <x:f>IF(AND(E11="высокий",F11="нет без проверки"),"править","ок")</x:f>
        <x:v>ок</x:v>
      </x:c>
    </x:row>
    <x:row r="12">
      <x:c r="A12" s="12" t="str">
        <x:v>CLM-07</x:v>
      </x:c>
      <x:c r="B12" s="12" t="str">
        <x:v>Модельные кейсы показывают применение технологии.</x:v>
      </x:c>
      <x:c r="C12" s="12" t="str">
        <x:v>модельный расчет</x:v>
      </x:c>
      <x:c r="D12" s="12" t="str">
        <x:v>да</x:v>
      </x:c>
      <x:c r="E12" s="12" t="str">
        <x:v>высокий</x:v>
      </x:c>
      <x:c r="F12" s="12" t="str">
        <x:f>IF(OR(C12="факт",C12="модельный расчет"),"да с условиями","нет без проверки")</x:f>
        <x:v>да с условиями</x:v>
      </x:c>
      <x:c r="G12" s="12" t="str">
        <x:f>IF(AND(E12="высокий",F12="нет без проверки"),"править","ок")</x:f>
        <x:v>ок</x:v>
      </x:c>
    </x:row>
    <x:row r="13">
      <x:c r="A13" s="12" t="str">
        <x:v>CLM-08</x:v>
      </x:c>
      <x:c r="B13" s="12" t="str">
        <x:v>Контур Маржи не является BI / бизнес-аналитикой.</x:v>
      </x:c>
      <x:c r="C13" s="12" t="str">
        <x:v>факт</x:v>
      </x:c>
      <x:c r="D13" s="12" t="str">
        <x:v>да</x:v>
      </x:c>
      <x:c r="E13" s="12" t="str">
        <x:v>высокий</x:v>
      </x:c>
      <x:c r="F13" s="12" t="str">
        <x:f>IF(OR(C13="факт",C13="модельный расчет"),"да с условиями","нет без проверки")</x:f>
        <x:v>да с условиями</x:v>
      </x:c>
      <x:c r="G13" s="12" t="str">
        <x:f>IF(AND(E13="высокий",F13="нет без проверки"),"править","ок")</x:f>
        <x:v>ок</x:v>
      </x:c>
    </x:row>
    <x:row r="14">
      <x:c r="A14" s="12" t="str">
        <x:v>CLM-09</x:v>
      </x:c>
      <x:c r="B14" s="12" t="str">
        <x:v>Контур Маржи не является аудитом маркетплейсов.</x:v>
      </x:c>
      <x:c r="C14" s="12" t="str">
        <x:v>факт</x:v>
      </x:c>
      <x:c r="D14" s="12" t="str">
        <x:v>да</x:v>
      </x:c>
      <x:c r="E14" s="12" t="str">
        <x:v>средний</x:v>
      </x:c>
      <x:c r="F14" s="12" t="str">
        <x:f>IF(OR(C14="факт",C14="модельный расчет"),"да с условиями","нет без проверки")</x:f>
        <x:v>да с условиями</x:v>
      </x:c>
      <x:c r="G14" s="12" t="str">
        <x:f>IF(AND(E14="высокий",F14="нет без проверки"),"править","ок")</x:f>
        <x:v>ок</x:v>
      </x:c>
    </x:row>
    <x:row r="15">
      <x:c r="A15" s="12" t="str">
        <x:v>CLM-10</x:v>
      </x:c>
      <x:c r="B15" s="12" t="str">
        <x:v>Стоп-решение после Диагностики является нормальным результатом.</x:v>
      </x:c>
      <x:c r="C15" s="12" t="str">
        <x:v>факт</x:v>
      </x:c>
      <x:c r="D15" s="12" t="str">
        <x:v>да</x:v>
      </x:c>
      <x:c r="E15" s="12" t="str">
        <x:v>высокий</x:v>
      </x:c>
      <x:c r="F15" s="12" t="str">
        <x:f>IF(OR(C15="факт",C15="модельный расчет"),"да с условиями","нет без проверки")</x:f>
        <x:v>да с условиями</x:v>
      </x:c>
      <x:c r="G15" s="12" t="str">
        <x:f>IF(AND(E15="высокий",F15="нет без проверки"),"править","ок")</x:f>
        <x:v>ок</x:v>
      </x:c>
    </x:row>
    <x:row r="16">
      <x:c r="A16" s="12" t="str">
        <x:v>CLM-11</x:v>
      </x:c>
      <x:c r="B16" s="12" t="str">
        <x:v>Цены продукта берутся только из документа продуктов, сроков и цен.</x:v>
      </x:c>
      <x:c r="C16" s="12" t="str">
        <x:v>факт</x:v>
      </x:c>
      <x:c r="D16" s="12" t="str">
        <x:v>да</x:v>
      </x:c>
      <x:c r="E16" s="12" t="str">
        <x:v>высокий</x:v>
      </x:c>
      <x:c r="F16" s="12" t="str">
        <x:f>IF(OR(C16="факт",C16="модельный расчет"),"да с условиями","нет без проверки")</x:f>
        <x:v>да с условиями</x:v>
      </x:c>
      <x:c r="G16" s="12" t="str">
        <x:f>IF(AND(E16="высокий",F16="нет без проверки"),"править","ок")</x:f>
        <x:v>ок</x:v>
      </x:c>
    </x:row>
    <x:row r="17">
      <x:c r="A17" s="12" t="str">
        <x:v>CLM-12</x:v>
      </x:c>
      <x:c r="B17" s="12" t="str">
        <x:v>Эффект зависит от данных, решений, владельцев и права менять параметры.</x:v>
      </x:c>
      <x:c r="C17" s="12" t="str">
        <x:v>факт</x:v>
      </x:c>
      <x:c r="D17" s="12" t="str">
        <x:v>да</x:v>
      </x:c>
      <x:c r="E17" s="12" t="str">
        <x:v>высокий</x:v>
      </x:c>
      <x:c r="F17" s="12" t="str">
        <x:f>IF(OR(C17="факт",C17="модельный расчет"),"да с условиями","нет без проверки")</x:f>
        <x:v>да с условиями</x:v>
      </x:c>
      <x:c r="G17" s="12" t="str">
        <x:f>IF(AND(E17="высокий",F17="нет без проверки"),"править","ок")</x:f>
        <x:v>ок</x:v>
      </x:c>
    </x:row>
    <x:row r="18">
      <x:c r="A18" s="12" t="str">
        <x:v>CLM-13</x:v>
      </x:c>
      <x:c r="B18" s="12" t="str">
        <x:v>Цена ошибки помогает обосновать покупку Диагностики.</x:v>
      </x:c>
      <x:c r="C18" s="12" t="str">
        <x:v>гипотеза</x:v>
      </x:c>
      <x:c r="D18" s="12" t="str">
        <x:v>да</x:v>
      </x:c>
      <x:c r="E18" s="12" t="str">
        <x:v>средний</x:v>
      </x:c>
      <x:c r="F18" s="12" t="str">
        <x:f>IF(OR(C18="факт",C18="модельный расчет"),"да с условиями","нет без проверки")</x:f>
        <x:v>нет без проверки</x:v>
      </x:c>
      <x:c r="G18" s="12" t="str">
        <x:f>IF(AND(E18="высокий",F18="нет без проверки"),"править","ок")</x:f>
        <x:v>ок</x:v>
      </x:c>
    </x:row>
    <x:row r="19">
      <x:c r="A19" s="12" t="str">
        <x:v>CLM-14</x:v>
      </x:c>
      <x:c r="B19" s="12" t="str">
        <x:v>Контур Маржи не является Excel-набором.</x:v>
      </x:c>
      <x:c r="C19" s="12" t="str">
        <x:v>факт</x:v>
      </x:c>
      <x:c r="D19" s="12" t="str">
        <x:v>да</x:v>
      </x:c>
      <x:c r="E19" s="12" t="str">
        <x:v>высокий</x:v>
      </x:c>
      <x:c r="F19" s="12" t="str">
        <x:f>IF(OR(C19="факт",C19="модельный расчет"),"да с условиями","нет без проверки")</x:f>
        <x:v>да с условиями</x:v>
      </x:c>
      <x:c r="G19" s="12" t="str">
        <x:f>IF(AND(E19="высокий",F19="нет без проверки"),"править","ок")</x:f>
        <x:v>ок</x:v>
      </x:c>
    </x:row>
    <x:row r="20">
      <x:c r="A20" s="12" t="str">
        <x:v>CLM-15</x:v>
      </x:c>
      <x:c r="B20" s="12" t="str">
        <x:v>Юридические и регуляторные утверждения требуют отдельного фактчека.</x:v>
      </x:c>
      <x:c r="C20" s="12" t="str">
        <x:v>факт</x:v>
      </x:c>
      <x:c r="D20" s="12" t="str">
        <x:v>да</x:v>
      </x:c>
      <x:c r="E20" s="12" t="str">
        <x:v>высокий</x:v>
      </x:c>
      <x:c r="F20" s="12" t="str">
        <x:f>IF(OR(C20="факт",C20="модельный расчет"),"да с условиями","нет без проверки")</x:f>
        <x:v>да с условиями</x:v>
      </x:c>
      <x:c r="G20" s="12" t="str">
        <x:f>IF(AND(E20="высокий",F20="нет без проверки"),"править","ок")</x:f>
        <x:v>ок</x:v>
      </x:c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  <x:row r="51">
      <x:c r="A51" s="12"/>
      <x:c r="B51" s="12"/>
      <x:c r="C51" s="12"/>
      <x:c r="D51" s="12"/>
      <x:c r="E51" s="12"/>
      <x:c r="F51" s="12"/>
      <x:c r="G51" s="12"/>
    </x:row>
    <x:row r="52">
      <x:c r="A52" s="12"/>
      <x:c r="B52" s="12"/>
      <x:c r="C52" s="12"/>
      <x:c r="D52" s="12"/>
      <x:c r="E52" s="12"/>
      <x:c r="F52" s="12"/>
      <x:c r="G52" s="12"/>
    </x:row>
    <x:row r="53">
      <x:c r="A53" s="12"/>
      <x:c r="B53" s="12"/>
      <x:c r="C53" s="12"/>
      <x:c r="D53" s="12"/>
      <x:c r="E53" s="12"/>
      <x:c r="F53" s="12"/>
      <x:c r="G53" s="12"/>
    </x:row>
    <x:row r="54">
      <x:c r="A54" s="12"/>
      <x:c r="B54" s="12"/>
      <x:c r="C54" s="12"/>
      <x:c r="D54" s="12"/>
      <x:c r="E54" s="12"/>
      <x:c r="F54" s="12"/>
      <x:c r="G54" s="12"/>
    </x:row>
    <x:row r="55">
      <x:c r="A55" s="12"/>
      <x:c r="B55" s="12"/>
      <x:c r="C55" s="12"/>
      <x:c r="D55" s="12"/>
      <x:c r="E55" s="12"/>
      <x:c r="F55" s="12"/>
      <x:c r="G55" s="12"/>
    </x:row>
    <x:row r="56">
      <x:c r="A56" s="12"/>
      <x:c r="B56" s="12"/>
      <x:c r="C56" s="12"/>
      <x:c r="D56" s="12"/>
      <x:c r="E56" s="12"/>
      <x:c r="F56" s="12"/>
      <x:c r="G56" s="12"/>
    </x:row>
    <x:row r="57">
      <x:c r="A57" s="12"/>
      <x:c r="B57" s="12"/>
      <x:c r="C57" s="12"/>
      <x:c r="D57" s="12"/>
      <x:c r="E57" s="12"/>
      <x:c r="F57" s="12"/>
      <x:c r="G57" s="12"/>
    </x:row>
    <x:row r="58">
      <x:c r="A58" s="12"/>
      <x:c r="B58" s="12"/>
      <x:c r="C58" s="12"/>
      <x:c r="D58" s="12"/>
      <x:c r="E58" s="12"/>
      <x:c r="F58" s="12"/>
      <x:c r="G58" s="12"/>
    </x:row>
    <x:row r="59">
      <x:c r="A59" s="12"/>
      <x:c r="B59" s="12"/>
      <x:c r="C59" s="12"/>
      <x:c r="D59" s="12"/>
      <x:c r="E59" s="12"/>
      <x:c r="F59" s="12"/>
      <x:c r="G59" s="12"/>
    </x:row>
    <x:row r="60">
      <x:c r="A60" s="12"/>
      <x:c r="B60" s="12"/>
      <x:c r="C60" s="12"/>
      <x:c r="D60" s="12"/>
      <x:c r="E60" s="12"/>
      <x:c r="F60" s="12"/>
      <x:c r="G60" s="12"/>
    </x:row>
    <x:row r="61">
      <x:c r="A61" s="12"/>
      <x:c r="B61" s="12"/>
      <x:c r="C61" s="12"/>
      <x:c r="D61" s="12"/>
      <x:c r="E61" s="12"/>
      <x:c r="F61" s="12"/>
      <x:c r="G61" s="12"/>
    </x:row>
    <x:row r="62">
      <x:c r="A62" s="12"/>
      <x:c r="B62" s="12"/>
      <x:c r="C62" s="12"/>
      <x:c r="D62" s="12"/>
      <x:c r="E62" s="12"/>
      <x:c r="F62" s="12"/>
      <x:c r="G62" s="12"/>
    </x:row>
    <x:row r="63">
      <x:c r="A63" s="12"/>
      <x:c r="B63" s="12"/>
      <x:c r="C63" s="12"/>
      <x:c r="D63" s="12"/>
      <x:c r="E63" s="12"/>
      <x:c r="F63" s="12"/>
      <x:c r="G63" s="12"/>
    </x:row>
    <x:row r="64">
      <x:c r="A64" s="12"/>
      <x:c r="B64" s="12"/>
      <x:c r="C64" s="12"/>
      <x:c r="D64" s="12"/>
      <x:c r="E64" s="12"/>
      <x:c r="F64" s="12"/>
      <x:c r="G64" s="12"/>
    </x:row>
    <x:row r="65">
      <x:c r="A65" s="12"/>
      <x:c r="B65" s="12"/>
      <x:c r="C65" s="12"/>
      <x:c r="D65" s="12"/>
      <x:c r="E65" s="12"/>
      <x:c r="F65" s="12"/>
      <x:c r="G65" s="12"/>
    </x:row>
    <x:row r="66">
      <x:c r="A66" s="12"/>
      <x:c r="B66" s="12"/>
      <x:c r="C66" s="12"/>
      <x:c r="D66" s="12"/>
      <x:c r="E66" s="12"/>
      <x:c r="F66" s="12"/>
      <x:c r="G66" s="12"/>
    </x:row>
    <x:row r="67">
      <x:c r="A67" s="12"/>
      <x:c r="B67" s="12"/>
      <x:c r="C67" s="12"/>
      <x:c r="D67" s="12"/>
      <x:c r="E67" s="12"/>
      <x:c r="F67" s="12"/>
      <x:c r="G67" s="12"/>
    </x:row>
    <x:row r="68">
      <x:c r="A68" s="12"/>
      <x:c r="B68" s="12"/>
      <x:c r="C68" s="12"/>
      <x:c r="D68" s="12"/>
      <x:c r="E68" s="12"/>
      <x:c r="F68" s="12"/>
      <x:c r="G68" s="12"/>
    </x:row>
    <x:row r="69">
      <x:c r="A69" s="12"/>
      <x:c r="B69" s="12"/>
      <x:c r="C69" s="12"/>
      <x:c r="D69" s="12"/>
      <x:c r="E69" s="12"/>
      <x:c r="F69" s="12"/>
      <x:c r="G69" s="12"/>
    </x:row>
    <x:row r="70">
      <x:c r="A70" s="12"/>
      <x:c r="B70" s="12"/>
      <x:c r="C70" s="12"/>
      <x:c r="D70" s="12"/>
      <x:c r="E70" s="12"/>
      <x:c r="F70" s="12"/>
      <x:c r="G70" s="12"/>
    </x:row>
    <x:row r="71">
      <x:c r="A71" s="12"/>
      <x:c r="B71" s="12"/>
      <x:c r="C71" s="12"/>
      <x:c r="D71" s="12"/>
      <x:c r="E71" s="12"/>
      <x:c r="F71" s="12"/>
      <x:c r="G71" s="12"/>
    </x:row>
    <x:row r="72">
      <x:c r="A72" s="12"/>
      <x:c r="B72" s="12"/>
      <x:c r="C72" s="12"/>
      <x:c r="D72" s="12"/>
      <x:c r="E72" s="12"/>
      <x:c r="F72" s="12"/>
      <x:c r="G72" s="12"/>
    </x:row>
    <x:row r="73">
      <x:c r="A73" s="12"/>
      <x:c r="B73" s="12"/>
      <x:c r="C73" s="12"/>
      <x:c r="D73" s="12"/>
      <x:c r="E73" s="12"/>
      <x:c r="F73" s="12"/>
      <x:c r="G73" s="12"/>
    </x:row>
    <x:row r="74">
      <x:c r="A74" s="12"/>
      <x:c r="B74" s="12"/>
      <x:c r="C74" s="12"/>
      <x:c r="D74" s="12"/>
      <x:c r="E74" s="12"/>
      <x:c r="F74" s="12"/>
      <x:c r="G74" s="12"/>
    </x:row>
    <x:row r="75">
      <x:c r="A75" s="12"/>
      <x:c r="B75" s="12"/>
      <x:c r="C75" s="12"/>
      <x:c r="D75" s="12"/>
      <x:c r="E75" s="12"/>
      <x:c r="F75" s="12"/>
      <x:c r="G75" s="12"/>
    </x:row>
    <x:row r="76">
      <x:c r="A76" s="12"/>
      <x:c r="B76" s="12"/>
      <x:c r="C76" s="12"/>
      <x:c r="D76" s="12"/>
      <x:c r="E76" s="12"/>
      <x:c r="F76" s="12"/>
      <x:c r="G76" s="12"/>
    </x:row>
    <x:row r="77">
      <x:c r="A77" s="12"/>
      <x:c r="B77" s="12"/>
      <x:c r="C77" s="12"/>
      <x:c r="D77" s="12"/>
      <x:c r="E77" s="12"/>
      <x:c r="F77" s="12"/>
      <x:c r="G77" s="12"/>
    </x:row>
    <x:row r="78">
      <x:c r="A78" s="12"/>
      <x:c r="B78" s="12"/>
      <x:c r="C78" s="12"/>
      <x:c r="D78" s="12"/>
      <x:c r="E78" s="12"/>
      <x:c r="F78" s="12"/>
      <x:c r="G78" s="12"/>
    </x:row>
    <x:row r="79">
      <x:c r="A79" s="12"/>
      <x:c r="B79" s="12"/>
      <x:c r="C79" s="12"/>
      <x:c r="D79" s="12"/>
      <x:c r="E79" s="12"/>
      <x:c r="F79" s="12"/>
      <x:c r="G79" s="12"/>
    </x:row>
    <x:row r="80">
      <x:c r="A80" s="12"/>
      <x:c r="B80" s="12"/>
      <x:c r="C80" s="12"/>
      <x:c r="D80" s="12"/>
      <x:c r="E80" s="12"/>
      <x:c r="F80" s="12"/>
      <x:c r="G80" s="12"/>
    </x:row>
  </x:sheetData>
  <x:mergeCells>
    <x:mergeCell ref="A1:G1"/>
  </x:mergeCells>
  <x:dataValidations count="2">
    <x:dataValidation type="list" sqref="C6:C80">
      <x:formula1>"факт,гипотеза,модельный расчет,неподтвержденное"</x:formula1>
    </x:dataValidation>
    <x:dataValidation type="list" sqref="E6:E80">
      <x:formula1>"низкий,средний,высокий"</x:formula1>
    </x:dataValidation>
  </x:dataValidations>
  <x:pageMargins left="0.7" right="0.7" top="0.75" bottom="0.75" header="0.3" footer="0.3"/>
</x:worksheet>
</file>