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f0909b8f6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ульт" sheetId="1" r:id="R9e21e47e18ed402d"/>
    <x:sheet xmlns:r="http://schemas.openxmlformats.org/officeDocument/2006/relationships" name="Навигатор" sheetId="2" r:id="Rbb17a3e208794c65"/>
    <x:sheet xmlns:r="http://schemas.openxmlformats.org/officeDocument/2006/relationships" name="Карта кейсов" sheetId="3" r:id="Rca52ee71c1954729"/>
    <x:sheet xmlns:r="http://schemas.openxmlformats.org/officeDocument/2006/relationships" name="Проверка маркировки" sheetId="4" r:id="R8093747217ef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1F4E79"/>
      <x:name val="Carlito"/>
    </x:font>
    <x:font>
      <x:b/>
      <x:sz val="11"/>
      <x:color rgb="FF1F4E79"/>
      <x:name val="Carlito"/>
    </x:font>
    <x:font>
      <x:b/>
      <x:sz val="18"/>
      <x:color rgb="FF1F4E79"/>
      <x:name val="Carlito"/>
    </x:font>
    <x:font>
      <x:sz val="11"/>
      <x:color rgb="FF212730"/>
      <x:name val="Carlito"/>
    </x:font>
    <x:font>
      <x:sz val="9"/>
      <x:color rgb="FF212730"/>
      <x:name val="Carlito"/>
    </x:font>
    <x:font>
      <x:b/>
      <x:sz val="11"/>
      <x:name val="Carlito"/>
    </x:font>
    <x:font>
      <x:b/>
      <x:sz val="11"/>
      <x:color rgb="FF21273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6F1E8"/>
      </x:patternFill>
    </x:fill>
    <x:fill>
      <x:patternFill patternType="solid">
        <x:fgColor rgb="FFE8F0F7"/>
      </x:patternFill>
    </x:fill>
  </x:fills>
  <x:borders count="5">
    <x:border/>
    <x:border>
      <x:left style="thin">
        <x:color rgb="FFD6DCE2"/>
      </x:left>
      <x:top style="thin">
        <x:color rgb="FFD6DCE2"/>
      </x:top>
      <x:bottom style="thin">
        <x:color rgb="FFD6DCE2"/>
      </x:bottom>
    </x:border>
    <x:border>
      <x:top style="thin">
        <x:color rgb="FFD6DCE2"/>
      </x:top>
      <x:bottom style="thin">
        <x:color rgb="FFD6DCE2"/>
      </x:bottom>
    </x:border>
    <x:border>
      <x:right style="thin">
        <x:color rgb="FFD6DCE2"/>
      </x:right>
      <x:top style="thin">
        <x:color rgb="FFD6DCE2"/>
      </x:top>
      <x:bottom style="thin">
        <x:color rgb="FFD6DCE2"/>
      </x:bottom>
    </x:border>
    <x:border>
      <x:left style="thin">
        <x:color rgb="FFD6DCE2"/>
      </x:left>
      <x:right style="thin">
        <x:color rgb="FFD6DCE2"/>
      </x:right>
      <x:top style="thin">
        <x:color rgb="FFD6DCE2"/>
      </x:top>
      <x:bottom style="thin">
        <x:color rgb="FFD6DCE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4824f768f46c6" /><Relationship Type="http://schemas.openxmlformats.org/officeDocument/2006/relationships/theme" Target="/xl/theme/theme1.xml" Id="R577cc52dff54438d" /><Relationship Type="http://schemas.openxmlformats.org/officeDocument/2006/relationships/sharedStrings" Target="/xl/sharedStrings.xml" Id="R67a874455d254552" /><Relationship Type="http://schemas.openxmlformats.org/officeDocument/2006/relationships/worksheet" Target="/xl/worksheets/sheet1.xml" Id="R9e21e47e18ed402d" /><Relationship Type="http://schemas.openxmlformats.org/officeDocument/2006/relationships/worksheet" Target="/xl/worksheets/sheet2.xml" Id="Rbb17a3e208794c65" /><Relationship Type="http://schemas.openxmlformats.org/officeDocument/2006/relationships/worksheet" Target="/xl/worksheets/sheet3.xml" Id="Rca52ee71c1954729" /><Relationship Type="http://schemas.openxmlformats.org/officeDocument/2006/relationships/worksheet" Target="/xl/worksheets/sheet4.xml" Id="R8093747217ef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4" hidden="0" customWidth="1"/>
    <x:col min="4" max="4" width="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Контур Маржи - навигатор кейсов для Диагностики v2.0</x:v>
      </x:c>
      <x:c r="B1" s="6"/>
      <x:c r="C1" s="6"/>
      <x:c r="D1" s="6"/>
      <x:c r="E1" s="6"/>
      <x:c r="F1" s="6"/>
      <x:c r="G1" s="6"/>
      <x:c r="H1" s="7"/>
    </x:row>
    <x:row r="2">
      <x:c r="A2" s="12" t="str">
        <x:v>Назначение</x:v>
      </x:c>
      <x:c r="B2" s="12" t="str">
        <x:v>Помочь выбрать 1-2 модельных кейса под боль клиента на первом разговоре и объяснить, что именно проверяет платная Диагностика.</x:v>
      </x:c>
      <x:c r="C2" s="12"/>
      <x:c r="D2" s="12"/>
      <x:c r="E2" s="12"/>
      <x:c r="F2" s="12"/>
      <x:c r="G2" s="12"/>
      <x:c r="H2" s="12"/>
    </x:row>
    <x:row r="3">
      <x:c r="A3" s="12" t="str">
        <x:v>Правило</x:v>
      </x:c>
      <x:c r="B3" s="12" t="str">
        <x:v>Кейсы не являются реальными внедрениями. Каждый кейс используется как модельный пример и не заменяет Диагностику.</x:v>
      </x:c>
      <x:c r="C3" s="12"/>
      <x:c r="D3" s="12"/>
      <x:c r="E3" s="12"/>
      <x:c r="F3" s="12"/>
      <x:c r="G3" s="12"/>
      <x:c r="H3" s="12"/>
    </x:row>
    <x:row r="5">
      <x:c r="A5" s="17" t="str">
        <x:v>Показатель</x:v>
      </x:c>
      <x:c r="B5" s="17" t="str">
        <x:v>Значение</x:v>
      </x:c>
      <x:c r="D5" s="21" t="str">
        <x:v>Как пользоваться</x:v>
      </x:c>
      <x:c r="E5" s="22"/>
      <x:c r="F5" s="22"/>
      <x:c r="G5" s="22"/>
      <x:c r="H5" s="23"/>
    </x:row>
    <x:row r="6">
      <x:c r="A6" s="12" t="str">
        <x:v>Всего кейсов</x:v>
      </x:c>
      <x:c r="B6" s="12" t="n">
        <x:f>COUNTA('Карта кейсов'!A6:A30)</x:f>
        <x:v>12</x:v>
      </x:c>
      <x:c r="D6" s="12" t="str">
        <x:v>1</x:v>
      </x:c>
      <x:c r="E6" s="12" t="str">
        <x:v>Услышать боль клиента на первом разговоре.</x:v>
      </x:c>
      <x:c r="F6" s="12"/>
      <x:c r="G6" s="12"/>
      <x:c r="H6" s="12"/>
    </x:row>
    <x:row r="7">
      <x:c r="A7" s="12" t="str">
        <x:v>Стоп-кейсов</x:v>
      </x:c>
      <x:c r="B7" s="12" t="n">
        <x:f>COUNTIF('Карта кейсов'!E6:E30,"Стоп после Диагностики")</x:f>
        <x:v>1</x:v>
      </x:c>
      <x:c r="D7" s="12" t="str">
        <x:v>2</x:v>
      </x:c>
      <x:c r="E7" s="12" t="str">
        <x:v>Открыть лист Навигатор и выбрать похожую ситуацию.</x:v>
      </x:c>
      <x:c r="F7" s="12"/>
      <x:c r="G7" s="12"/>
      <x:c r="H7" s="12"/>
    </x:row>
    <x:row r="8">
      <x:c r="A8" s="12" t="str">
        <x:v>Ситуаций по комиссиям</x:v>
      </x:c>
      <x:c r="B8" s="12" t="n">
        <x:f>COUNTIF('Навигатор'!G6:G40,"комиссии")</x:f>
        <x:v>1</x:v>
      </x:c>
      <x:c r="D8" s="12" t="str">
        <x:v>3</x:v>
      </x:c>
      <x:c r="E8" s="12" t="str">
        <x:v>Показать 1-2 модельных кейса, не обещая аналогичный эффект.</x:v>
      </x:c>
      <x:c r="F8" s="12"/>
      <x:c r="G8" s="12"/>
      <x:c r="H8" s="12"/>
    </x:row>
    <x:row r="9">
      <x:c r="A9" s="12" t="str">
        <x:v>Ситуаций по промо</x:v>
      </x:c>
      <x:c r="B9" s="12" t="n">
        <x:f>COUNTIF('Навигатор'!G6:G40,"промо")</x:f>
        <x:v>1</x:v>
      </x:c>
      <x:c r="D9" s="12" t="str">
        <x:v>4</x:v>
      </x:c>
      <x:c r="E9" s="12" t="str">
        <x:v>Свести разговор к платной Диагностике: данные -&gt; карта потерь -&gt; вердикт.</x:v>
      </x:c>
      <x:c r="F9" s="12"/>
      <x:c r="G9" s="12"/>
      <x:c r="H9" s="12"/>
    </x:row>
    <x:row r="10">
      <x:c r="A10" s="12" t="str">
        <x:v>Ситуаций по запасу</x:v>
      </x:c>
      <x:c r="B10" s="12" t="n">
        <x:f>COUNTIF('Навигатор'!G6:G40,"запас")</x:f>
        <x:v>4</x:v>
      </x:c>
      <x:c r="D10" s="12" t="str">
        <x:v>5</x:v>
      </x:c>
      <x:c r="E10" s="12" t="str">
        <x:v>Если данных нет или их нельзя собрать, использовать стоп-кейс 09.</x:v>
      </x:c>
      <x:c r="F10" s="12"/>
      <x:c r="G10" s="12"/>
      <x:c r="H10" s="12"/>
    </x:row>
    <x:row r="11">
      <x:c r="A11" s="12" t="str">
        <x:v>Ситуаций по логистике</x:v>
      </x:c>
      <x:c r="B11" s="12" t="n">
        <x:f>COUNTIF('Навигатор'!G6:G40,"логистика")</x:f>
        <x:v>2</x:v>
      </x:c>
    </x:row>
  </x:sheetData>
  <x:mergeCells>
    <x:mergeCell ref="A1:H1"/>
    <x:mergeCell ref="B2:H2"/>
    <x:mergeCell ref="B3:H3"/>
    <x:mergeCell ref="D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8" hidden="0" customWidth="1"/>
    <x:col min="4" max="4" width="42" hidden="0" customWidth="1"/>
    <x:col min="5" max="5" width="42" hidden="0" customWidth="1"/>
    <x:col min="6" max="6" width="34" hidden="0" customWidth="1"/>
    <x:col min="7" max="7" width="18" hidden="0" customWidth="1"/>
    <x:col min="8" max="8" width="24" hidden="0" customWidth="1"/>
    <x:col min="9" max="9" width="18" hidden="0" customWidth="1"/>
  </x:cols>
  <x:sheetData>
    <x:row r="1">
      <x:c r="A1" s="5" t="str">
        <x:v>Навигатор первого разговора</x:v>
      </x:c>
      <x:c r="B1" s="6"/>
      <x:c r="C1" s="6"/>
      <x:c r="D1" s="6"/>
      <x:c r="E1" s="6"/>
      <x:c r="F1" s="6"/>
      <x:c r="G1" s="6"/>
      <x:c r="H1" s="6"/>
      <x:c r="I1" s="7"/>
    </x:row>
    <x:row r="3">
      <x:c r="A3" s="17" t="str">
        <x:v>Боль клиента</x:v>
      </x:c>
      <x:c r="B3" s="17" t="str">
        <x:v>Подходящий кейс</x:v>
      </x:c>
      <x:c r="C3" s="17" t="str">
        <x:v>Кому показывать</x:v>
      </x:c>
      <x:c r="D3" s="17" t="str">
        <x:v>Вопрос первого разговора</x:v>
      </x:c>
      <x:c r="E3" s="17" t="str">
        <x:v>Что проверяет Диагностика</x:v>
      </x:c>
      <x:c r="F3" s="17" t="str">
        <x:v>Красный флаг</x:v>
      </x:c>
      <x:c r="G3" s="17" t="str">
        <x:v>Ключевая тема</x:v>
      </x:c>
      <x:c r="H3" s="17" t="str">
        <x:v>Следующий шаг</x:v>
      </x:c>
      <x:c r="I3" s="17" t="str">
        <x:v>Статус</x:v>
      </x:c>
    </x:row>
    <x:row r="6">
      <x:c r="A6" s="12" t="str">
        <x:v>Продажи растут, прибыль исчезает</x:v>
      </x:c>
      <x:c r="B6" s="12" t="str">
        <x:v>01, 02</x:v>
      </x:c>
      <x:c r="C6" s="12" t="str">
        <x:v>собственник, коммерческий директор</x:v>
      </x:c>
      <x:c r="D6" s="12" t="str">
        <x:v>По каким каналам вы видите прибыль, а по каким только продажи?</x:v>
      </x:c>
      <x:c r="E6" s="12" t="str">
        <x:v>SKU / товарная позиция x канал, комиссия, промо, возвраты</x:v>
      </x:c>
      <x:c r="F6" s="12" t="str">
        <x:v>нет расчета чистого вклада</x:v>
      </x:c>
      <x:c r="G6" s="12" t="str">
        <x:v>прибыль</x:v>
      </x:c>
      <x:c r="H6" s="12" t="str">
        <x:v>предложить Диагностику</x:v>
      </x:c>
      <x:c r="I6" s="12" t="str">
        <x:v>модельный пример</x:v>
      </x:c>
    </x:row>
    <x:row r="7">
      <x:c r="A7" s="12" t="str">
        <x:v>Маркетплейс забирает прибыль комиссиями</x:v>
      </x:c>
      <x:c r="B7" s="12" t="str">
        <x:v>01</x:v>
      </x:c>
      <x:c r="C7" s="12" t="str">
        <x:v>руководитель электронной торговли</x:v>
      </x:c>
      <x:c r="D7" s="12" t="str">
        <x:v>Какие удержания и штрафы вы видите после закрытия периода?</x:v>
      </x:c>
      <x:c r="E7" s="12" t="str">
        <x:v>Fee Stack / слои комиссий, цена, возвраты</x:v>
      </x:c>
      <x:c r="F7" s="12" t="str">
        <x:v>видят только выручку кабинета</x:v>
      </x:c>
      <x:c r="G7" s="12" t="str">
        <x:v>комиссии</x:v>
      </x:c>
      <x:c r="H7" s="12" t="str">
        <x:v>предложить Диагностику</x:v>
      </x:c>
      <x:c r="I7" s="12" t="str">
        <x:v>модельный пример</x:v>
      </x:c>
    </x:row>
    <x:row r="8">
      <x:c r="A8" s="12" t="str">
        <x:v>Промо дает оборот без вклада</x:v>
      </x:c>
      <x:c r="B8" s="12" t="str">
        <x:v>02</x:v>
      </x:c>
      <x:c r="C8" s="12" t="str">
        <x:v>коммерческий директор</x:v>
      </x:c>
      <x:c r="D8" s="12" t="str">
        <x:v>Какие акции после комиссии и логистики вызывают сомнение?</x:v>
      </x:c>
      <x:c r="E8" s="12" t="str">
        <x:v>скидка, компенсации, канал, чистый вклад</x:v>
      </x:c>
      <x:c r="F8" s="12" t="str">
        <x:v>решения принимаются по обороту</x:v>
      </x:c>
      <x:c r="G8" s="12" t="str">
        <x:v>промо</x:v>
      </x:c>
      <x:c r="H8" s="12" t="str">
        <x:v>предложить Диагностику</x:v>
      </x:c>
      <x:c r="I8" s="12" t="str">
        <x:v>модельный пример</x:v>
      </x:c>
    </x:row>
    <x:row r="9">
      <x:c r="A9" s="12" t="str">
        <x:v>Каналы воюют ценой</x:v>
      </x:c>
      <x:c r="B9" s="12" t="str">
        <x:v>03</x:v>
      </x:c>
      <x:c r="C9" s="12" t="str">
        <x:v>директор по продажам</x:v>
      </x:c>
      <x:c r="D9" s="12" t="str">
        <x:v>Есть ли конфликт цены между сайтом, розницей и маркетплейсом?</x:v>
      </x:c>
      <x:c r="E9" s="12" t="str">
        <x:v>ценовой разрыв, каннибализация, правила каналов</x:v>
      </x:c>
      <x:c r="F9" s="12" t="str">
        <x:v>нет владельца ценового коридора</x:v>
      </x:c>
      <x:c r="G9" s="12" t="str">
        <x:v>канальный конфликт</x:v>
      </x:c>
      <x:c r="H9" s="12" t="str">
        <x:v>предложить Диагностику</x:v>
      </x:c>
      <x:c r="I9" s="12" t="str">
        <x:v>модельный пример</x:v>
      </x:c>
    </x:row>
    <x:row r="10">
      <x:c r="A10" s="12" t="str">
        <x:v>Полка продает, но прибыль зависит от списаний</x:v>
      </x:c>
      <x:c r="B10" s="12" t="str">
        <x:v>04</x:v>
      </x:c>
      <x:c r="C10" s="12" t="str">
        <x:v>операционный директор</x:v>
      </x:c>
      <x:c r="D10" s="12" t="str">
        <x:v>Какие списания и остатки меняют прибыльность категории?</x:v>
      </x:c>
      <x:c r="E10" s="12" t="str">
        <x:v>полка, запас, списание, SKU</x:v>
      </x:c>
      <x:c r="F10" s="12" t="str">
        <x:v>учет списаний отдельно от продаж</x:v>
      </x:c>
      <x:c r="G10" s="12" t="str">
        <x:v>запас</x:v>
      </x:c>
      <x:c r="H10" s="12" t="str">
        <x:v>предложить Диагностику</x:v>
      </x:c>
      <x:c r="I10" s="12" t="str">
        <x:v>модельный пример</x:v>
      </x:c>
    </x:row>
    <x:row r="11">
      <x:c r="A11" s="12" t="str">
        <x:v>Размерные остатки замораживают деньги</x:v>
      </x:c>
      <x:c r="B11" s="12" t="str">
        <x:v>05</x:v>
      </x:c>
      <x:c r="C11" s="12" t="str">
        <x:v>директор бренда</x:v>
      </x:c>
      <x:c r="D11" s="12" t="str">
        <x:v>Какие размеры остаются после сезона и что с ними делают?</x:v>
      </x:c>
      <x:c r="E11" s="12" t="str">
        <x:v>размерная матрица, сезон, скидки, запас</x:v>
      </x:c>
      <x:c r="F11" s="12" t="str">
        <x:v>маржа считается до распродаж</x:v>
      </x:c>
      <x:c r="G11" s="12" t="str">
        <x:v>запас</x:v>
      </x:c>
      <x:c r="H11" s="12" t="str">
        <x:v>предложить Диагностику</x:v>
      </x:c>
      <x:c r="I11" s="12" t="str">
        <x:v>модельный пример</x:v>
      </x:c>
    </x:row>
    <x:row r="12">
      <x:c r="A12" s="12" t="str">
        <x:v>Канал выглядит оборотным, но дорогим</x:v>
      </x:c>
      <x:c r="B12" s="12" t="str">
        <x:v>06</x:v>
      </x:c>
      <x:c r="C12" s="12" t="str">
        <x:v>финансовый директор</x:v>
      </x:c>
      <x:c r="D12" s="12" t="str">
        <x:v>Какая реальная стоимость канала после всех удержаний?</x:v>
      </x:c>
      <x:c r="E12" s="12" t="str">
        <x:v>комиссия, логистика, срок оплаты, P&amp;L / отчет о прибылях и убытках</x:v>
      </x:c>
      <x:c r="F12" s="12" t="str">
        <x:v>канал защищают только оборотом</x:v>
      </x:c>
      <x:c r="G12" s="12" t="str">
        <x:v>стоимость канала</x:v>
      </x:c>
      <x:c r="H12" s="12" t="str">
        <x:v>предложить Диагностику</x:v>
      </x:c>
      <x:c r="I12" s="12" t="str">
        <x:v>модельный пример</x:v>
      </x:c>
    </x:row>
    <x:row r="13">
      <x:c r="A13" s="12" t="str">
        <x:v>Доставка меняет экономику продукта</x:v>
      </x:c>
      <x:c r="B13" s="12" t="str">
        <x:v>07</x:v>
      </x:c>
      <x:c r="C13" s="12" t="str">
        <x:v>управляющий сети</x:v>
      </x:c>
      <x:c r="D13" s="12" t="str">
        <x:v>Какие позиции прибыльны в зале, но спорны в доставке?</x:v>
      </x:c>
      <x:c r="E13" s="12" t="str">
        <x:v>канал доставки, комиссия, упаковка, возвраты</x:v>
      </x:c>
      <x:c r="F13" s="12" t="str">
        <x:v>нет отдельной экономики доставки</x:v>
      </x:c>
      <x:c r="G13" s="12" t="str">
        <x:v>логистика</x:v>
      </x:c>
      <x:c r="H13" s="12" t="str">
        <x:v>предложить Диагностику</x:v>
      </x:c>
      <x:c r="I13" s="12" t="str">
        <x:v>модельный пример</x:v>
      </x:c>
    </x:row>
    <x:row r="14">
      <x:c r="A14" s="12" t="str">
        <x:v>Склад заказных позиций съедает результат</x:v>
      </x:c>
      <x:c r="B14" s="12" t="str">
        <x:v>08</x:v>
      </x:c>
      <x:c r="C14" s="12" t="str">
        <x:v>собственник, производство</x:v>
      </x:c>
      <x:c r="D14" s="12" t="str">
        <x:v>Какие заказные позиции зависают и требуют скидки?</x:v>
      </x:c>
      <x:c r="E14" s="12" t="str">
        <x:v>оборачиваемость, сроки, запас, заказные SKU</x:v>
      </x:c>
      <x:c r="F14" s="12" t="str">
        <x:v>склад не связан с ассортиментными решениями</x:v>
      </x:c>
      <x:c r="G14" s="12" t="str">
        <x:v>запас</x:v>
      </x:c>
      <x:c r="H14" s="12" t="str">
        <x:v>предложить Диагностику</x:v>
      </x:c>
      <x:c r="I14" s="12" t="str">
        <x:v>модельный пример</x:v>
      </x:c>
    </x:row>
    <x:row r="15">
      <x:c r="A15" s="12" t="str">
        <x:v>Данные несводимы</x:v>
      </x:c>
      <x:c r="B15" s="12" t="str">
        <x:v>09</x:v>
      </x:c>
      <x:c r="C15" s="12" t="str">
        <x:v>собственник перед проектом</x:v>
      </x:c>
      <x:c r="D15" s="12" t="str">
        <x:v>Можно ли связать продажи, себестоимость, комиссии и SKU?</x:v>
      </x:c>
      <x:c r="E15" s="12" t="str">
        <x:v>качество данных, владелец, возможность расчета</x:v>
      </x:c>
      <x:c r="F15" s="12" t="str">
        <x:v>данные нельзя собрать или сверить</x:v>
      </x:c>
      <x:c r="G15" s="12" t="str">
        <x:v>стоп</x:v>
      </x:c>
      <x:c r="H15" s="12" t="str">
        <x:v>пауза или стоп</x:v>
      </x:c>
      <x:c r="I15" s="12" t="str">
        <x:v>стоп-кейс</x:v>
      </x:c>
    </x:row>
    <x:row r="16">
      <x:c r="A16" s="12" t="str">
        <x:v>Срок годности меняет прибыль</x:v>
      </x:c>
      <x:c r="B16" s="12" t="str">
        <x:v>10</x:v>
      </x:c>
      <x:c r="C16" s="12" t="str">
        <x:v>директор по продажам и качеству</x:v>
      </x:c>
      <x:c r="D16" s="12" t="str">
        <x:v>Какие каналы создают риск списания по сроку годности?</x:v>
      </x:c>
      <x:c r="E16" s="12" t="str">
        <x:v>срок, канал, запас, списание, скидка</x:v>
      </x:c>
      <x:c r="F16" s="12" t="str">
        <x:v>срок годности не входит в расчет цены</x:v>
      </x:c>
      <x:c r="G16" s="12" t="str">
        <x:v>запас</x:v>
      </x:c>
      <x:c r="H16" s="12" t="str">
        <x:v>предложить Диагностику</x:v>
      </x:c>
      <x:c r="I16" s="12" t="str">
        <x:v>модельный пример</x:v>
      </x:c>
    </x:row>
    <x:row r="17">
      <x:c r="A17" s="12" t="str">
        <x:v>Длинный хвост SKU маскирует потери</x:v>
      </x:c>
      <x:c r="B17" s="12" t="str">
        <x:v>11</x:v>
      </x:c>
      <x:c r="C17" s="12" t="str">
        <x:v>категорийный директор</x:v>
      </x:c>
      <x:c r="D17" s="12" t="str">
        <x:v>Какие SKU живут из-за совместимости, но не дают вклада?</x:v>
      </x:c>
      <x:c r="E17" s="12" t="str">
        <x:v>длинный хвост, совместимость, оборачиваемость</x:v>
      </x:c>
      <x:c r="F17" s="12" t="str">
        <x:v>никто не владеет длинным хвостом</x:v>
      </x:c>
      <x:c r="G17" s="12" t="str">
        <x:v>длинный хвост</x:v>
      </x:c>
      <x:c r="H17" s="12" t="str">
        <x:v>предложить Диагностику</x:v>
      </x:c>
      <x:c r="I17" s="12" t="str">
        <x:v>модельный пример</x:v>
      </x:c>
    </x:row>
    <x:row r="18">
      <x:c r="A18" s="12" t="str">
        <x:v>Тяжелая логистика ломает прибыль</x:v>
      </x:c>
      <x:c r="B18" s="12" t="str">
        <x:v>12</x:v>
      </x:c>
      <x:c r="C18" s="12" t="str">
        <x:v>директор по логистике и продажам</x:v>
      </x:c>
      <x:c r="D18" s="12" t="str">
        <x:v>Какие товары прибыльны до учета доставки?</x:v>
      </x:c>
      <x:c r="E18" s="12" t="str">
        <x:v>логистика, вес, регион, канал, цена</x:v>
      </x:c>
      <x:c r="F18" s="12" t="str">
        <x:v>логистика усредняется</x:v>
      </x:c>
      <x:c r="G18" s="12" t="str">
        <x:v>логистика</x:v>
      </x:c>
      <x:c r="H18" s="12" t="str">
        <x:v>предложить Диагностику</x:v>
      </x:c>
      <x:c r="I18" s="12" t="str">
        <x:v>модельный пример</x:v>
      </x:c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</x:sheetData>
  <x:mergeCells>
    <x:mergeCell ref="A1:I1"/>
  </x:mergeCells>
  <x:dataValidations count="1">
    <x:dataValidation type="list" sqref="I6:I45">
      <x:formula1>"модельный пример,стоп-кейс"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4" hidden="0" customWidth="1"/>
    <x:col min="4" max="4" width="34" hidden="0" customWidth="1"/>
    <x:col min="5" max="5" width="22" hidden="0" customWidth="1"/>
    <x:col min="6" max="6" width="34" hidden="0" customWidth="1"/>
    <x:col min="7" max="7" width="52" hidden="0" customWidth="1"/>
    <x:col min="8" max="8" width="20" hidden="0" customWidth="1"/>
  </x:cols>
  <x:sheetData>
    <x:row r="1">
      <x:c r="A1" s="5" t="str">
        <x:v>Карта 12 модельных кейсов</x:v>
      </x:c>
      <x:c r="B1" s="6"/>
      <x:c r="C1" s="6"/>
      <x:c r="D1" s="6"/>
      <x:c r="E1" s="6"/>
      <x:c r="F1" s="6"/>
      <x:c r="G1" s="6"/>
      <x:c r="H1" s="7"/>
    </x:row>
    <x:row r="3">
      <x:c r="A3" s="17" t="str">
        <x:v>№</x:v>
      </x:c>
      <x:c r="B3" s="17" t="str">
        <x:v>Кейс</x:v>
      </x:c>
      <x:c r="C3" s="17" t="str">
        <x:v>Сегмент</x:v>
      </x:c>
      <x:c r="D3" s="17" t="str">
        <x:v>Ключевой риск</x:v>
      </x:c>
      <x:c r="E3" s="17" t="str">
        <x:v>Этап</x:v>
      </x:c>
      <x:c r="F3" s="17" t="str">
        <x:v>Кому показывать</x:v>
      </x:c>
      <x:c r="G3" s="17" t="str">
        <x:v>Главный файл</x:v>
      </x:c>
      <x:c r="H3" s="17" t="str">
        <x:v>Статус</x:v>
      </x:c>
    </x:row>
    <x:row r="6">
      <x:c r="A6" s="12" t="str">
        <x:v>01</x:v>
      </x:c>
      <x:c r="B6" s="12" t="str">
        <x:v>Селлер на маркетплейсах и исчезающая прибыль</x:v>
      </x:c>
      <x:c r="C6" s="12" t="str">
        <x:v>Маркетплейсы</x:v>
      </x:c>
      <x:c r="D6" s="12" t="str">
        <x:v>комиссии и промо съедают прибыль</x:v>
      </x:c>
      <x:c r="E6" s="12" t="str">
        <x:v>Полная цепочка</x:v>
      </x:c>
      <x:c r="F6" s="12" t="str">
        <x:v>руководитель электронной торговли</x:v>
      </x:c>
      <x:c r="G6" s="12" t="str">
        <x:v>Контур_Маржи_Кейс_01_Селлер_на_маркетплейсах_и_исчезающая_прибыль_v2.0.docx</x:v>
      </x:c>
      <x:c r="H6" s="12" t="str">
        <x:v>модельный</x:v>
      </x:c>
    </x:row>
    <x:row r="7">
      <x:c r="A7" s="12" t="str">
        <x:v>02</x:v>
      </x:c>
      <x:c r="B7" s="12" t="str">
        <x:v>Производитель бытовой химии и промо-ловушка</x:v>
      </x:c>
      <x:c r="C7" s="12" t="str">
        <x:v>Производство</x:v>
      </x:c>
      <x:c r="D7" s="12" t="str">
        <x:v>промо дает выручку без прибыли</x:v>
      </x:c>
      <x:c r="E7" s="12" t="str">
        <x:v>Полная цепочка</x:v>
      </x:c>
      <x:c r="F7" s="12" t="str">
        <x:v>коммерческий директор</x:v>
      </x:c>
      <x:c r="G7" s="12" t="str">
        <x:v>Контур_Маржи_Кейс_02_Производитель_бытовой_химии_и_промо_ловушка_v2.0.docx</x:v>
      </x:c>
      <x:c r="H7" s="12" t="str">
        <x:v>модельный</x:v>
      </x:c>
    </x:row>
    <x:row r="8">
      <x:c r="A8" s="12" t="str">
        <x:v>03</x:v>
      </x:c>
      <x:c r="B8" s="12" t="str">
        <x:v>Сайт и маркетплейсы начали воевать ценой</x:v>
      </x:c>
      <x:c r="C8" s="12" t="str">
        <x:v>Омниканальные продажи</x:v>
      </x:c>
      <x:c r="D8" s="12" t="str">
        <x:v>канальный конфликт цены</x:v>
      </x:c>
      <x:c r="E8" s="12" t="str">
        <x:v>Полная цепочка</x:v>
      </x:c>
      <x:c r="F8" s="12" t="str">
        <x:v>директор по продажам</x:v>
      </x:c>
      <x:c r="G8" s="12" t="str">
        <x:v>Контур_Маржи_Кейс_03_Сайт_и_маркетплейсы_начали_воевать_ценой_v2.0.docx</x:v>
      </x:c>
      <x:c r="H8" s="12" t="str">
        <x:v>модельный</x:v>
      </x:c>
    </x:row>
    <x:row r="9">
      <x:c r="A9" s="12" t="str">
        <x:v>04</x:v>
      </x:c>
      <x:c r="B9" s="12" t="str">
        <x:v>Региональная продуктовая сеть и прибыль на полке</x:v>
      </x:c>
      <x:c r="C9" s="12" t="str">
        <x:v>Розница</x:v>
      </x:c>
      <x:c r="D9" s="12" t="str">
        <x:v>прибыль зависит от полки, списаний и запаса</x:v>
      </x:c>
      <x:c r="E9" s="12" t="str">
        <x:v>Полная цепочка</x:v>
      </x:c>
      <x:c r="F9" s="12" t="str">
        <x:v>операционный и коммерческий директор</x:v>
      </x:c>
      <x:c r="G9" s="12" t="str">
        <x:v>Контур_Маржи_Кейс_04_Региональная_продуктовая_сеть_и_прибыль_на_полке_v2.0.docx</x:v>
      </x:c>
      <x:c r="H9" s="12" t="str">
        <x:v>модельный</x:v>
      </x:c>
    </x:row>
    <x:row r="10">
      <x:c r="A10" s="12" t="str">
        <x:v>05</x:v>
      </x:c>
      <x:c r="B10" s="12" t="str">
        <x:v>Бренд одежды и размерные остатки</x:v>
      </x:c>
      <x:c r="C10" s="12" t="str">
        <x:v>Мода и одежда</x:v>
      </x:c>
      <x:c r="D10" s="12" t="str">
        <x:v>размерные остатки замораживают прибыль</x:v>
      </x:c>
      <x:c r="E10" s="12" t="str">
        <x:v>Полная цепочка</x:v>
      </x:c>
      <x:c r="F10" s="12" t="str">
        <x:v>директор бренда</x:v>
      </x:c>
      <x:c r="G10" s="12" t="str">
        <x:v>Контур_Маржи_Кейс_05_Бренд_одежды_и_размерные_остатки_v2.0.docx</x:v>
      </x:c>
      <x:c r="H10" s="12" t="str">
        <x:v>модельный</x:v>
      </x:c>
    </x:row>
    <x:row r="11">
      <x:c r="A11" s="12" t="str">
        <x:v>06</x:v>
      </x:c>
      <x:c r="B11" s="12" t="str">
        <x:v>Дистрибьютор электроники и скрытая стоимость канала</x:v>
      </x:c>
      <x:c r="C11" s="12" t="str">
        <x:v>Дистрибуция</x:v>
      </x:c>
      <x:c r="D11" s="12" t="str">
        <x:v>канал выглядит оборотным, но дорогим</x:v>
      </x:c>
      <x:c r="E11" s="12" t="str">
        <x:v>Полная цепочка</x:v>
      </x:c>
      <x:c r="F11" s="12" t="str">
        <x:v>финансовый и коммерческий директор</x:v>
      </x:c>
      <x:c r="G11" s="12" t="str">
        <x:v>Контур_Маржи_Кейс_06_Дистрибьютор_электроники_и_скрытая_стоимость_канала_v2.0.docx</x:v>
      </x:c>
      <x:c r="H11" s="12" t="str">
        <x:v>модельный</x:v>
      </x:c>
    </x:row>
    <x:row r="12">
      <x:c r="A12" s="12" t="str">
        <x:v>07</x:v>
      </x:c>
      <x:c r="B12" s="12" t="str">
        <x:v>Сеть кафе и доставка съедала прибыль меню</x:v>
      </x:c>
      <x:c r="C12" s="12" t="str">
        <x:v>HoReCa / общепит</x:v>
      </x:c>
      <x:c r="D12" s="12" t="str">
        <x:v>доставка меняет экономику блюда</x:v>
      </x:c>
      <x:c r="E12" s="12" t="str">
        <x:v>Полная цепочка</x:v>
      </x:c>
      <x:c r="F12" s="12" t="str">
        <x:v>управляющий сети</x:v>
      </x:c>
      <x:c r="G12" s="12" t="str">
        <x:v>Контур_Маржи_Кейс_07_Сеть_кафе_и_доставка_съедала_прибыль_меню_v2.0.docx</x:v>
      </x:c>
      <x:c r="H12" s="12" t="str">
        <x:v>модельный</x:v>
      </x:c>
    </x:row>
    <x:row r="13">
      <x:c r="A13" s="12" t="str">
        <x:v>08</x:v>
      </x:c>
      <x:c r="B13" s="12" t="str">
        <x:v>Производитель мебели и склад заказных позиций</x:v>
      </x:c>
      <x:c r="C13" s="12" t="str">
        <x:v>Производство на заказ</x:v>
      </x:c>
      <x:c r="D13" s="12" t="str">
        <x:v>запас и сроки ломают прибыльность</x:v>
      </x:c>
      <x:c r="E13" s="12" t="str">
        <x:v>Полная цепочка</x:v>
      </x:c>
      <x:c r="F13" s="12" t="str">
        <x:v>собственник и директор производства</x:v>
      </x:c>
      <x:c r="G13" s="12" t="str">
        <x:v>Контур_Маржи_Кейс_08_Производитель_мебели_и_склад_заказных_позиций_v2.0.docx</x:v>
      </x:c>
      <x:c r="H13" s="12" t="str">
        <x:v>модельный</x:v>
      </x:c>
    </x:row>
    <x:row r="14">
      <x:c r="A14" s="12" t="str">
        <x:v>09</x:v>
      </x:c>
      <x:c r="B14" s="12" t="str">
        <x:v>Стоп-решение после диагностики и несводимые данные</x:v>
      </x:c>
      <x:c r="C14" s="12" t="str">
        <x:v>Импорт</x:v>
      </x:c>
      <x:c r="D14" s="12" t="str">
        <x:v>данные не позволяют продолжать</x:v>
      </x:c>
      <x:c r="E14" s="12" t="str">
        <x:v>Стоп после Диагностики</x:v>
      </x:c>
      <x:c r="F14" s="12" t="str">
        <x:v>собственник перед проектом</x:v>
      </x:c>
      <x:c r="G14" s="12" t="str">
        <x:v>Контур_Маржи_Кейс_09_Стоп_решение_после_диагностики_и_несводимые_данные_v2.0.docx</x:v>
      </x:c>
      <x:c r="H14" s="12" t="str">
        <x:v>модельный стоп-кейс</x:v>
      </x:c>
    </x:row>
    <x:row r="15">
      <x:c r="A15" s="12" t="str">
        <x:v>10</x:v>
      </x:c>
      <x:c r="B15" s="12" t="str">
        <x:v>Фарм-дистрибьютор и срок годности в каналах</x:v>
      </x:c>
      <x:c r="C15" s="12" t="str">
        <x:v>Фарма</x:v>
      </x:c>
      <x:c r="D15" s="12" t="str">
        <x:v>срок годности и канал меняют прибыль</x:v>
      </x:c>
      <x:c r="E15" s="12" t="str">
        <x:v>Полная цепочка</x:v>
      </x:c>
      <x:c r="F15" s="12" t="str">
        <x:v>директор по продажам и качеству</x:v>
      </x:c>
      <x:c r="G15" s="12" t="str">
        <x:v>Контур_Маржи_Кейс_10_Фарм_дистрибьютор_и_срок_годности_в_каналах_v2.0.docx</x:v>
      </x:c>
      <x:c r="H15" s="12" t="str">
        <x:v>модельный</x:v>
      </x:c>
    </x:row>
    <x:row r="16">
      <x:c r="A16" s="12" t="str">
        <x:v>11</x:v>
      </x:c>
      <x:c r="B16" s="12" t="str">
        <x:v>Автозапчасти и длинный хвост совместимости</x:v>
      </x:c>
      <x:c r="C16" s="12" t="str">
        <x:v>Автозапчасти</x:v>
      </x:c>
      <x:c r="D16" s="12" t="str">
        <x:v>длинный хвост SKU маскирует потери</x:v>
      </x:c>
      <x:c r="E16" s="12" t="str">
        <x:v>Полная цепочка</x:v>
      </x:c>
      <x:c r="F16" s="12" t="str">
        <x:v>категорийный и коммерческий директор</x:v>
      </x:c>
      <x:c r="G16" s="12" t="str">
        <x:v>Контур_Маржи_Кейс_11_Автозапчасти_и_длинный_хвост_совместимости_v2.0.docx</x:v>
      </x:c>
      <x:c r="H16" s="12" t="str">
        <x:v>модельный</x:v>
      </x:c>
    </x:row>
    <x:row r="17">
      <x:c r="A17" s="12" t="str">
        <x:v>12</x:v>
      </x:c>
      <x:c r="B17" s="12" t="str">
        <x:v>Строительные материалы и тяжелая логистика</x:v>
      </x:c>
      <x:c r="C17" s="12" t="str">
        <x:v>Стройматериалы</x:v>
      </x:c>
      <x:c r="D17" s="12" t="str">
        <x:v>логистика меняет реальную прибыльность</x:v>
      </x:c>
      <x:c r="E17" s="12" t="str">
        <x:v>Полная цепочка</x:v>
      </x:c>
      <x:c r="F17" s="12" t="str">
        <x:v>директор по логистике и продажам</x:v>
      </x:c>
      <x:c r="G17" s="12" t="str">
        <x:v>Контур_Маржи_Кейс_12_Строительные_материалы_и_тяжелая_логистика_v2.0.docx</x:v>
      </x:c>
      <x:c r="H17" s="12" t="str">
        <x:v>модельный</x:v>
      </x:c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</x:sheetData>
  <x:mergeCells>
    <x:mergeCell ref="A1:H1"/>
  </x:mergeCells>
  <x:dataValidations count="2">
    <x:dataValidation type="list" sqref="E6:E30">
      <x:formula1>"Полная цепочка,Стоп после Диагностики"</x:formula1>
    </x:dataValidation>
    <x:dataValidation type="list" sqref="H6:H30">
      <x:formula1>"модельный,модельный стоп-кейс"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8" hidden="0" customWidth="1"/>
    <x:col min="3" max="3" width="22" hidden="0" customWidth="1"/>
    <x:col min="4" max="4" width="22" hidden="0" customWidth="1"/>
    <x:col min="5" max="5" width="14" hidden="0" customWidth="1"/>
    <x:col min="6" max="6" width="42" hidden="0" customWidth="1"/>
  </x:cols>
  <x:sheetData>
    <x:row r="1">
      <x:c r="A1" s="5" t="str">
        <x:v>Проверка маркировки модельных кейсов</x:v>
      </x:c>
      <x:c r="B1" s="6"/>
      <x:c r="C1" s="6"/>
      <x:c r="D1" s="6"/>
      <x:c r="E1" s="6"/>
      <x:c r="F1" s="7"/>
    </x:row>
    <x:row r="3">
      <x:c r="A3" s="17" t="str">
        <x:v>№</x:v>
      </x:c>
      <x:c r="B3" s="17" t="str">
        <x:v>Файл</x:v>
      </x:c>
      <x:c r="C3" s="17" t="str">
        <x:v>Найдено слово модельный</x:v>
      </x:c>
      <x:c r="D3" s="17" t="str">
        <x:v>Найдено реальный / реальные</x:v>
      </x:c>
      <x:c r="E3" s="17" t="str">
        <x:v>Вердикт</x:v>
      </x:c>
      <x:c r="F3" s="17" t="str">
        <x:v>Комментарий</x:v>
      </x:c>
    </x:row>
    <x:row r="6">
      <x:c r="A6" s="12" t="str">
        <x:v>01</x:v>
      </x:c>
      <x:c r="B6" s="12" t="str">
        <x:v>Контур_Маржи_Кейс_01_Селлер_на_маркетплейсах_и_исчезающая_прибыль_v2.0.docx</x:v>
      </x:c>
      <x:c r="C6" s="12" t="n">
        <x:v>13</x:v>
      </x:c>
      <x:c r="D6" s="12" t="n">
        <x:v>3</x:v>
      </x:c>
      <x:c r="E6" s="12" t="str">
        <x:f>IF(C6&gt;=1,"ок","проверить")</x:f>
        <x:v>ок</x:v>
      </x:c>
      <x:c r="F6" s="12" t="str">
        <x:v>Кейс маркирован как модельный сценарий.</x:v>
      </x:c>
    </x:row>
    <x:row r="7">
      <x:c r="A7" s="12" t="str">
        <x:v>02</x:v>
      </x:c>
      <x:c r="B7" s="12" t="str">
        <x:v>Контур_Маржи_Кейс_02_Производитель_бытовой_химии_и_промо_ловушка_v2.0.docx</x:v>
      </x:c>
      <x:c r="C7" s="12" t="n">
        <x:v>11</x:v>
      </x:c>
      <x:c r="D7" s="12" t="n">
        <x:v>3</x:v>
      </x:c>
      <x:c r="E7" s="12" t="str">
        <x:f>IF(C7&gt;=1,"ок","проверить")</x:f>
        <x:v>ок</x:v>
      </x:c>
      <x:c r="F7" s="12" t="str">
        <x:v>Кейс маркирован как модельный сценарий.</x:v>
      </x:c>
    </x:row>
    <x:row r="8">
      <x:c r="A8" s="12" t="str">
        <x:v>03</x:v>
      </x:c>
      <x:c r="B8" s="12" t="str">
        <x:v>Контур_Маржи_Кейс_03_Сайт_и_маркетплейсы_начали_воевать_ценой_v2.0.docx</x:v>
      </x:c>
      <x:c r="C8" s="12" t="n">
        <x:v>12</x:v>
      </x:c>
      <x:c r="D8" s="12" t="n">
        <x:v>3</x:v>
      </x:c>
      <x:c r="E8" s="12" t="str">
        <x:f>IF(C8&gt;=1,"ок","проверить")</x:f>
        <x:v>ок</x:v>
      </x:c>
      <x:c r="F8" s="12" t="str">
        <x:v>Кейс маркирован как модельный сценарий.</x:v>
      </x:c>
    </x:row>
    <x:row r="9">
      <x:c r="A9" s="12" t="str">
        <x:v>04</x:v>
      </x:c>
      <x:c r="B9" s="12" t="str">
        <x:v>Контур_Маржи_Кейс_04_Региональная_продуктовая_сеть_и_прибыль_на_полке_v2.0.docx</x:v>
      </x:c>
      <x:c r="C9" s="12" t="n">
        <x:v>11</x:v>
      </x:c>
      <x:c r="D9" s="12" t="n">
        <x:v>3</x:v>
      </x:c>
      <x:c r="E9" s="12" t="str">
        <x:f>IF(C9&gt;=1,"ок","проверить")</x:f>
        <x:v>ок</x:v>
      </x:c>
      <x:c r="F9" s="12" t="str">
        <x:v>Кейс маркирован как модельный сценарий.</x:v>
      </x:c>
    </x:row>
    <x:row r="10">
      <x:c r="A10" s="12" t="str">
        <x:v>05</x:v>
      </x:c>
      <x:c r="B10" s="12" t="str">
        <x:v>Контур_Маржи_Кейс_05_Бренд_одежды_и_размерные_остатки_v2.0.docx</x:v>
      </x:c>
      <x:c r="C10" s="12" t="n">
        <x:v>11</x:v>
      </x:c>
      <x:c r="D10" s="12" t="n">
        <x:v>3</x:v>
      </x:c>
      <x:c r="E10" s="12" t="str">
        <x:f>IF(C10&gt;=1,"ок","проверить")</x:f>
        <x:v>ок</x:v>
      </x:c>
      <x:c r="F10" s="12" t="str">
        <x:v>Кейс маркирован как модельный сценарий.</x:v>
      </x:c>
    </x:row>
    <x:row r="11">
      <x:c r="A11" s="12" t="str">
        <x:v>06</x:v>
      </x:c>
      <x:c r="B11" s="12" t="str">
        <x:v>Контур_Маржи_Кейс_06_Дистрибьютор_электроники_и_скрытая_стоимость_канала_v2.0.docx</x:v>
      </x:c>
      <x:c r="C11" s="12" t="n">
        <x:v>11</x:v>
      </x:c>
      <x:c r="D11" s="12" t="n">
        <x:v>3</x:v>
      </x:c>
      <x:c r="E11" s="12" t="str">
        <x:f>IF(C11&gt;=1,"ок","проверить")</x:f>
        <x:v>ок</x:v>
      </x:c>
      <x:c r="F11" s="12" t="str">
        <x:v>Кейс маркирован как модельный сценарий.</x:v>
      </x:c>
    </x:row>
    <x:row r="12">
      <x:c r="A12" s="12" t="str">
        <x:v>07</x:v>
      </x:c>
      <x:c r="B12" s="12" t="str">
        <x:v>Контур_Маржи_Кейс_07_Сеть_кафе_и_доставка_съедала_прибыль_меню_v2.0.docx</x:v>
      </x:c>
      <x:c r="C12" s="12" t="n">
        <x:v>11</x:v>
      </x:c>
      <x:c r="D12" s="12" t="n">
        <x:v>3</x:v>
      </x:c>
      <x:c r="E12" s="12" t="str">
        <x:f>IF(C12&gt;=1,"ок","проверить")</x:f>
        <x:v>ок</x:v>
      </x:c>
      <x:c r="F12" s="12" t="str">
        <x:v>Кейс маркирован как модельный сценарий.</x:v>
      </x:c>
    </x:row>
    <x:row r="13">
      <x:c r="A13" s="12" t="str">
        <x:v>08</x:v>
      </x:c>
      <x:c r="B13" s="12" t="str">
        <x:v>Контур_Маржи_Кейс_08_Производитель_мебели_и_склад_заказных_позиций_v2.0.docx</x:v>
      </x:c>
      <x:c r="C13" s="12" t="n">
        <x:v>11</x:v>
      </x:c>
      <x:c r="D13" s="12" t="n">
        <x:v>3</x:v>
      </x:c>
      <x:c r="E13" s="12" t="str">
        <x:f>IF(C13&gt;=1,"ок","проверить")</x:f>
        <x:v>ок</x:v>
      </x:c>
      <x:c r="F13" s="12" t="str">
        <x:v>Кейс маркирован как модельный сценарий.</x:v>
      </x:c>
    </x:row>
    <x:row r="14">
      <x:c r="A14" s="12" t="str">
        <x:v>09</x:v>
      </x:c>
      <x:c r="B14" s="12" t="str">
        <x:v>Контур_Маржи_Кейс_09_Стоп_решение_после_диагностики_и_несводимые_данные_v2.0.docx</x:v>
      </x:c>
      <x:c r="C14" s="12" t="n">
        <x:v>6</x:v>
      </x:c>
      <x:c r="D14" s="12" t="n">
        <x:v>3</x:v>
      </x:c>
      <x:c r="E14" s="12" t="str">
        <x:f>IF(C14&gt;=1,"ок","проверить")</x:f>
        <x:v>ок</x:v>
      </x:c>
      <x:c r="F14" s="12" t="str">
        <x:v>Стоп-кейс также маркирован как модельный сценарий.</x:v>
      </x:c>
    </x:row>
    <x:row r="15">
      <x:c r="A15" s="12" t="str">
        <x:v>10</x:v>
      </x:c>
      <x:c r="B15" s="12" t="str">
        <x:v>Контур_Маржи_Кейс_10_Фарм_дистрибьютор_и_срок_годности_в_каналах_v2.0.docx</x:v>
      </x:c>
      <x:c r="C15" s="12" t="n">
        <x:v>11</x:v>
      </x:c>
      <x:c r="D15" s="12" t="n">
        <x:v>3</x:v>
      </x:c>
      <x:c r="E15" s="12" t="str">
        <x:f>IF(C15&gt;=1,"ок","проверить")</x:f>
        <x:v>ок</x:v>
      </x:c>
      <x:c r="F15" s="12" t="str">
        <x:v>Кейс маркирован как модельный сценарий.</x:v>
      </x:c>
    </x:row>
    <x:row r="16">
      <x:c r="A16" s="12" t="str">
        <x:v>11</x:v>
      </x:c>
      <x:c r="B16" s="12" t="str">
        <x:v>Контур_Маржи_Кейс_11_Автозапчасти_и_длинный_хвост_совместимости_v2.0.docx</x:v>
      </x:c>
      <x:c r="C16" s="12" t="n">
        <x:v>11</x:v>
      </x:c>
      <x:c r="D16" s="12" t="n">
        <x:v>3</x:v>
      </x:c>
      <x:c r="E16" s="12" t="str">
        <x:f>IF(C16&gt;=1,"ок","проверить")</x:f>
        <x:v>ок</x:v>
      </x:c>
      <x:c r="F16" s="12" t="str">
        <x:v>Кейс маркирован как модельный сценарий.</x:v>
      </x:c>
    </x:row>
    <x:row r="17">
      <x:c r="A17" s="12" t="str">
        <x:v>12</x:v>
      </x:c>
      <x:c r="B17" s="12" t="str">
        <x:v>Контур_Маржи_Кейс_12_Строительные_материалы_и_тяжелая_логистика_v2.0.docx</x:v>
      </x:c>
      <x:c r="C17" s="12" t="n">
        <x:v>11</x:v>
      </x:c>
      <x:c r="D17" s="12" t="n">
        <x:v>3</x:v>
      </x:c>
      <x:c r="E17" s="12" t="str">
        <x:f>IF(C17&gt;=1,"ок","проверить")</x:f>
        <x:v>ок</x:v>
      </x:c>
      <x:c r="F17" s="12" t="str">
        <x:v>Кейс маркирован как модельный сценарий.</x:v>
      </x:c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</x:sheetData>
  <x:mergeCells>
    <x:mergeCell ref="A1:F1"/>
  </x:mergeCells>
  <x:pageMargins left="0.7" right="0.7" top="0.75" bottom="0.75" header="0.3" footer="0.3"/>
</x:worksheet>
</file>