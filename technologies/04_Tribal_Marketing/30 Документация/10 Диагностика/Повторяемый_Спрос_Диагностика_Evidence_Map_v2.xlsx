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4cfc54f95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Итог" sheetId="1" r:id="R80f3a743252048fe"/>
    <x:sheet xmlns:r="http://schemas.openxmlformats.org/officeDocument/2006/relationships" name="01_Доказательства" sheetId="2" r:id="Ra6944be965a044f4"/>
    <x:sheet xmlns:r="http://schemas.openxmlformats.org/officeDocument/2006/relationships" name="02_Цепочка" sheetId="3" r:id="R7d5a8458d81a4b89"/>
    <x:sheet xmlns:r="http://schemas.openxmlformats.org/officeDocument/2006/relationships" name="03_Gate" sheetId="4" r:id="Rdc5a4484422949a1"/>
    <x:sheet xmlns:r="http://schemas.openxmlformats.org/officeDocument/2006/relationships" name="04_Финансы" sheetId="5" r:id="R03818e6ec3f5474b"/>
    <x:sheet xmlns:r="http://schemas.openxmlformats.org/officeDocument/2006/relationships" name="05_Язык" sheetId="6" r:id="Rcc93e251228949b8"/>
    <x:sheet xmlns:r="http://schemas.openxmlformats.org/officeDocument/2006/relationships" name="06_Связанные_Файлы" sheetId="7" r:id="R437f8de5345b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sz val="9"/>
      <x:color rgb="FF111827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AF7F1"/>
      </x:patternFill>
    </x:fill>
    <x:fill>
      <x:patternFill patternType="solid">
        <x:fgColor rgb="FFF3EBDD"/>
      </x:patternFill>
    </x:fill>
  </x:fills>
  <x:borders count="2">
    <x:border/>
    <x:border>
      <x:left style="thin">
        <x:color rgb="FFD8CFC3"/>
      </x:left>
      <x:right style="thin">
        <x:color rgb="FFD8CFC3"/>
      </x:right>
      <x:top style="thin">
        <x:color rgb="FFD8CFC3"/>
      </x:top>
      <x:bottom style="thin">
        <x:color rgb="FFD8CFC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dab4426f2483e" /><Relationship Type="http://schemas.openxmlformats.org/officeDocument/2006/relationships/theme" Target="/xl/theme/theme1.xml" Id="R7b1e534aabe24efc" /><Relationship Type="http://schemas.openxmlformats.org/officeDocument/2006/relationships/sharedStrings" Target="/xl/sharedStrings.xml" Id="R3b2b80a0f0864393" /><Relationship Type="http://schemas.openxmlformats.org/officeDocument/2006/relationships/worksheet" Target="/xl/worksheets/sheet1.xml" Id="R80f3a743252048fe" /><Relationship Type="http://schemas.openxmlformats.org/officeDocument/2006/relationships/worksheet" Target="/xl/worksheets/sheet2.xml" Id="Ra6944be965a044f4" /><Relationship Type="http://schemas.openxmlformats.org/officeDocument/2006/relationships/worksheet" Target="/xl/worksheets/sheet3.xml" Id="R7d5a8458d81a4b89" /><Relationship Type="http://schemas.openxmlformats.org/officeDocument/2006/relationships/worksheet" Target="/xl/worksheets/sheet4.xml" Id="Rdc5a4484422949a1" /><Relationship Type="http://schemas.openxmlformats.org/officeDocument/2006/relationships/worksheet" Target="/xl/worksheets/sheet5.xml" Id="R03818e6ec3f5474b" /><Relationship Type="http://schemas.openxmlformats.org/officeDocument/2006/relationships/worksheet" Target="/xl/worksheets/sheet6.xml" Id="Rcc93e251228949b8" /><Relationship Type="http://schemas.openxmlformats.org/officeDocument/2006/relationships/worksheet" Target="/xl/worksheets/sheet7.xml" Id="R437f8de5345b4888" /></Relationships>
</file>

<file path=xl/tables/table1.xml><?xml version="1.0" encoding="utf-8"?>
<x:table xmlns:x="http://schemas.openxmlformats.org/spreadsheetml/2006/main" id="1" name="EvidenceSummaryTable" displayName="EvidenceSummaryTable" ref="A1:B11" headerRowCount="1" totalsRowCount="0" totalsRowShown="0">
  <x:autoFilter ref="A1:B11"/>
  <x:tableColumns count="2">
    <x:tableColumn id="1" name="Параметр"/>
    <x:tableColumn id="2" name="Зна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" displayName="EvidenceTable" ref="A1:J31" headerRowCount="1" totalsRowCount="0" totalsRowShown="0">
  <x:autoFilter ref="A1:J31"/>
  <x:tableColumns count="10">
    <x:tableColumn id="1" name="ID"/>
    <x:tableColumn id="2" name="Блок"/>
    <x:tableColumn id="3" name="Проверяемая гипотеза"/>
    <x:tableColumn id="4" name="Источник / факт"/>
    <x:tableColumn id="5" name="Что увидели"/>
    <x:tableColumn id="6" name="Сила 0-3"/>
    <x:tableColumn id="7" name="Надежность 0-3"/>
    <x:tableColumn id="8" name="Риск"/>
    <x:tableColumn id="9" name="Вывод"/>
    <x:tableColumn id="10" name="Связь с отчето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inTable" displayName="ChainTable" ref="A1:F7" headerRowCount="1" totalsRowCount="0" totalsRowShown="0">
  <x:autoFilter ref="A1:F7"/>
  <x:tableColumns count="6">
    <x:tableColumn id="1" name="Блок"/>
    <x:tableColumn id="2" name="Средняя сила"/>
    <x:tableColumn id="3" name="Средняя надежность"/>
    <x:tableColumn id="4" name="Критические риски"/>
    <x:tableColumn id="5" name="Статус"/>
    <x:tableColumn id="6" name="Комментари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teTable" displayName="GateTable" ref="A1:E7" headerRowCount="1" totalsRowCount="0" totalsRowShown="0">
  <x:autoFilter ref="A1:E7"/>
  <x:tableColumns count="5">
    <x:tableColumn id="1" name="Gate"/>
    <x:tableColumn id="2" name="Критерий"/>
    <x:tableColumn id="3" name="Факт клиента"/>
    <x:tableColumn id="4" name="Решение"/>
    <x:tableColumn id="5" name="Комментар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nanceTable" displayName="FinanceTable" ref="A1:E8" headerRowCount="1" totalsRowCount="0" totalsRowShown="0">
  <x:autoFilter ref="A1:E8"/>
  <x:tableColumns count="5">
    <x:tableColumn id="1" name="Метрика"/>
    <x:tableColumn id="2" name="Единица"/>
    <x:tableColumn id="3" name="Значение клиента"/>
    <x:tableColumn id="4" name="Зачем нужна"/>
    <x:tableColumn id="5" name="Ограничен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nguageTable" displayName="LanguageTable" ref="A1:C6" headerRowCount="1" totalsRowCount="0" totalsRowShown="0">
  <x:autoFilter ref="A1:C6"/>
  <x:tableColumns count="3">
    <x:tableColumn id="1" name="Тема"/>
    <x:tableColumn id="2" name="Правило"/>
    <x:tableColumn id="3" name="Где применяется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latedDocsTable" displayName="RelatedDocsTable" ref="A1:C5" headerRowCount="1" totalsRowCount="0" totalsRowShown="0">
  <x:autoFilter ref="A1:C5"/>
  <x:tableColumns count="3">
    <x:tableColumn id="1" name="Артефакт"/>
    <x:tableColumn id="2" name="Файл"/>
    <x:tableColumn id="3" name="Рол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8fc1796ec847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eaf3164c4947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74f47326fd41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2c6944e59649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d6636ca295741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ee07c0720794b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d87039dfd374d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</x:cols>
  <x:sheetData>
    <x:row r="1" ht="32" customHeight="1">
      <x:c r="A1" s="9" t="str">
        <x:v>Параметр</x:v>
      </x:c>
      <x:c r="B1" s="9" t="str">
        <x:v>Значение</x:v>
      </x:c>
    </x:row>
    <x:row r="2">
      <x:c r="A2" s="10" t="str">
        <x:v>Технология</x:v>
      </x:c>
      <x:c r="B2" s="10" t="str">
        <x:v>Повторяемый спрос</x:v>
      </x:c>
    </x:row>
    <x:row r="3">
      <x:c r="A3" s="10" t="str">
        <x:v>Этап</x:v>
      </x:c>
      <x:c r="B3" s="10" t="str">
        <x:v>Диагностика применимости</x:v>
      </x:c>
    </x:row>
    <x:row r="4">
      <x:c r="A4" s="10" t="str">
        <x:v>Назначение файла</x:v>
      </x:c>
      <x:c r="B4" s="10" t="str">
        <x:v>Evidence map, карта доказательств, для итогового отчета и gate-решения.</x:v>
      </x:c>
    </x:row>
    <x:row r="5">
      <x:c r="A5" s="10" t="str">
        <x:v>Формула ядра</x:v>
      </x:c>
      <x:c r="B5" s="10" t="str">
        <x:v>мотив -&gt; сцена -&gt; ритуал -&gt; сигнал -&gt; повторяемость -&gt; финансовый эффект</x:v>
      </x:c>
    </x:row>
    <x:row r="6">
      <x:c r="A6" s="10" t="str">
        <x:v>Вердикт собирается из</x:v>
      </x:c>
      <x:c r="B6" s="10" t="str">
        <x:v>силы доказательств, надежности источников, стоп-факторов и финансовой проверяемости</x:v>
      </x:c>
    </x:row>
    <x:row r="7">
      <x:c r="A7" s="11" t="str">
        <x:v>Средняя сила доказательств</x:v>
      </x:c>
      <x:c r="B7" s="12" t="n">
        <x:f>AVERAGE('01_Доказательства'!F2:F31)</x:f>
        <x:v>0</x:v>
      </x:c>
    </x:row>
    <x:row r="8">
      <x:c r="A8" s="11" t="str">
        <x:v>Средняя надежность источников</x:v>
      </x:c>
      <x:c r="B8" s="12" t="n">
        <x:f>AVERAGE('01_Доказательства'!G2:G31)</x:f>
        <x:v>0</x:v>
      </x:c>
    </x:row>
    <x:row r="9">
      <x:c r="A9" s="11" t="str">
        <x:v>Критические риски</x:v>
      </x:c>
      <x:c r="B9" s="12" t="n">
        <x:f>COUNTIF('01_Доказательства'!H2:H31,"критический")</x:f>
        <x:v>0</x:v>
      </x:c>
    </x:row>
    <x:row r="10">
      <x:c r="A10" s="11" t="str">
        <x:v>Блоков цепочки подтверждено</x:v>
      </x:c>
      <x:c r="B10" s="12" t="n">
        <x:f>COUNTIF('02_Цепочка'!F2:F7,"подтвержден")</x:f>
        <x:v>0</x:v>
      </x:c>
    </x:row>
    <x:row r="11">
      <x:c r="A11" s="11" t="str">
        <x:v>Рекомендованный вердикт</x:v>
      </x:c>
      <x:c r="B11" s="11" t="str">
        <x:f>IF(B9&gt;0,"No Go, не запускать",IF(AND(B7&gt;=2.3,B8&gt;=2.2,B10&gt;=4),"Go, запускать",IF(AND(B7&gt;=1.6,B8&gt;=1.6,B10&gt;=3),"Conditional Go, запускать при условиях","No Go, не запускать")))</x:f>
        <x:v>No Go, не запускать</x:v>
      </x:c>
    </x:row>
  </x:sheetData>
  <x:pageMargins left="0.7" right="0.7" top="0.75" bottom="0.75" header="0.3" footer="0.3"/>
  <x:tableParts count="1">
    <x:tablePart xmlns:r="http://schemas.openxmlformats.org/officeDocument/2006/relationships" r:id="Rb98fc1796ec847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48" hidden="0" customWidth="1"/>
    <x:col min="4" max="4" width="34" hidden="0" customWidth="1"/>
    <x:col min="5" max="5" width="42" hidden="0" customWidth="1"/>
    <x:col min="6" max="6" width="12" hidden="0" customWidth="1"/>
    <x:col min="7" max="7" width="15" hidden="0" customWidth="1"/>
    <x:col min="8" max="8" width="16" hidden="0" customWidth="1"/>
    <x:col min="9" max="9" width="34" hidden="0" customWidth="1"/>
    <x:col min="10" max="10" width="18" hidden="0" customWidth="1"/>
  </x:cols>
  <x:sheetData>
    <x:row r="1" ht="32" customHeight="1">
      <x:c r="A1" s="8" t="str">
        <x:v>ID</x:v>
      </x:c>
      <x:c r="B1" s="8" t="str">
        <x:v>Блок</x:v>
      </x:c>
      <x:c r="C1" s="8" t="str">
        <x:v>Проверяемая гипотеза</x:v>
      </x:c>
      <x:c r="D1" s="8" t="str">
        <x:v>Источник / факт</x:v>
      </x:c>
      <x:c r="E1" s="8" t="str">
        <x:v>Что увидели</x:v>
      </x:c>
      <x:c r="F1" s="8" t="str">
        <x:v>Сила 0-3</x:v>
      </x:c>
      <x:c r="G1" s="8" t="str">
        <x:v>Надежность 0-3</x:v>
      </x:c>
      <x:c r="H1" s="8" t="str">
        <x:v>Риск</x:v>
      </x:c>
      <x:c r="I1" s="8" t="str">
        <x:v>Вывод</x:v>
      </x:c>
      <x:c r="J1" s="8" t="str">
        <x:v>Связь с отчетом</x:v>
      </x:c>
    </x:row>
    <x:row r="2">
      <x:c r="A2" s="4" t="str">
        <x:v>E01</x:v>
      </x:c>
      <x:c r="B2" s="4" t="str">
        <x:v>Мотив</x:v>
      </x:c>
      <x:c r="C2" s="4" t="str">
        <x:v>Категория активирует устойчивый мотив, а не разовый интерес.</x:v>
      </x:c>
      <x:c r="D2" s="4" t="str">
        <x:v>Отзывы / интервью / запросы</x:v>
      </x:c>
      <x:c r="E2" s="4" t="str"/>
      <x:c r="F2" s="13" t="n">
        <x:v>0</x:v>
      </x:c>
      <x:c r="G2" s="13" t="n">
        <x:v>0</x:v>
      </x:c>
      <x:c r="H2" s="4" t="str">
        <x:v>нет</x:v>
      </x:c>
      <x:c r="I2" s="4" t="str"/>
      <x:c r="J2" s="4" t="str">
        <x:v>Раздел 4</x:v>
      </x:c>
    </x:row>
    <x:row r="3">
      <x:c r="A3" s="4" t="str">
        <x:v>E02</x:v>
      </x:c>
      <x:c r="B3" s="4" t="str">
        <x:v>Мотив</x:v>
      </x:c>
      <x:c r="C3" s="4" t="str">
        <x:v>Мотив выражен языком клиента, а не языком бренда.</x:v>
      </x:c>
      <x:c r="D3" s="4" t="str">
        <x:v>Отзывы / обращения / поиск</x:v>
      </x:c>
      <x:c r="E3" s="4" t="str"/>
      <x:c r="F3" s="13" t="n">
        <x:v>0</x:v>
      </x:c>
      <x:c r="G3" s="13" t="n">
        <x:v>0</x:v>
      </x:c>
      <x:c r="H3" s="4" t="str">
        <x:v>нет</x:v>
      </x:c>
      <x:c r="I3" s="4" t="str"/>
      <x:c r="J3" s="4" t="str">
        <x:v>Раздел 4</x:v>
      </x:c>
    </x:row>
    <x:row r="4">
      <x:c r="A4" s="4" t="str">
        <x:v>E03</x:v>
      </x:c>
      <x:c r="B4" s="4" t="str">
        <x:v>Мотив</x:v>
      </x:c>
      <x:c r="C4" s="4" t="str">
        <x:v>Мотив связан с повторяемым состоянием или задачей.</x:v>
      </x:c>
      <x:c r="D4" s="4" t="str">
        <x:v>Интервью / аналитика продаж</x:v>
      </x:c>
      <x:c r="E4" s="4" t="str"/>
      <x:c r="F4" s="13" t="n">
        <x:v>0</x:v>
      </x:c>
      <x:c r="G4" s="13" t="n">
        <x:v>0</x:v>
      </x:c>
      <x:c r="H4" s="4" t="str">
        <x:v>нет</x:v>
      </x:c>
      <x:c r="I4" s="4" t="str"/>
      <x:c r="J4" s="4" t="str">
        <x:v>Раздел 4</x:v>
      </x:c>
    </x:row>
    <x:row r="5">
      <x:c r="A5" s="4" t="str">
        <x:v>E04</x:v>
      </x:c>
      <x:c r="B5" s="4" t="str">
        <x:v>Мотив</x:v>
      </x:c>
      <x:c r="C5" s="4" t="str">
        <x:v>Мотив можно усилить без манипулятивного обещания.</x:v>
      </x:c>
      <x:c r="D5" s="4" t="str">
        <x:v>Коммуникации / продукт</x:v>
      </x:c>
      <x:c r="E5" s="4" t="str"/>
      <x:c r="F5" s="13" t="n">
        <x:v>0</x:v>
      </x:c>
      <x:c r="G5" s="13" t="n">
        <x:v>0</x:v>
      </x:c>
      <x:c r="H5" s="4" t="str">
        <x:v>нет</x:v>
      </x:c>
      <x:c r="I5" s="4" t="str"/>
      <x:c r="J5" s="4" t="str">
        <x:v>Раздел 6</x:v>
      </x:c>
    </x:row>
    <x:row r="6">
      <x:c r="A6" s="4" t="str">
        <x:v>E05</x:v>
      </x:c>
      <x:c r="B6" s="4" t="str">
        <x:v>Мотив</x:v>
      </x:c>
      <x:c r="C6" s="4" t="str">
        <x:v>Мотив отличает бренд от промо-шума категории.</x:v>
      </x:c>
      <x:c r="D6" s="4" t="str">
        <x:v>Конкурентный обзор</x:v>
      </x:c>
      <x:c r="E6" s="4" t="str"/>
      <x:c r="F6" s="13" t="n">
        <x:v>0</x:v>
      </x:c>
      <x:c r="G6" s="13" t="n">
        <x:v>0</x:v>
      </x:c>
      <x:c r="H6" s="4" t="str">
        <x:v>нет</x:v>
      </x:c>
      <x:c r="I6" s="4" t="str"/>
      <x:c r="J6" s="4" t="str">
        <x:v>Раздел 3</x:v>
      </x:c>
    </x:row>
    <x:row r="7">
      <x:c r="A7" s="4" t="str">
        <x:v>E06</x:v>
      </x:c>
      <x:c r="B7" s="4" t="str">
        <x:v>Сцена</x:v>
      </x:c>
      <x:c r="C7" s="4" t="str">
        <x:v>Есть повторяемая сцена потребления.</x:v>
      </x:c>
      <x:c r="D7" s="4" t="str">
        <x:v>Канал / место / время покупки</x:v>
      </x:c>
      <x:c r="E7" s="4" t="str"/>
      <x:c r="F7" s="13" t="n">
        <x:v>0</x:v>
      </x:c>
      <x:c r="G7" s="13" t="n">
        <x:v>0</x:v>
      </x:c>
      <x:c r="H7" s="4" t="str">
        <x:v>нет</x:v>
      </x:c>
      <x:c r="I7" s="4" t="str"/>
      <x:c r="J7" s="4" t="str">
        <x:v>Раздел 4</x:v>
      </x:c>
    </x:row>
    <x:row r="8">
      <x:c r="A8" s="4" t="str">
        <x:v>E07</x:v>
      </x:c>
      <x:c r="B8" s="4" t="str">
        <x:v>Сцена</x:v>
      </x:c>
      <x:c r="C8" s="4" t="str">
        <x:v>Сцена возникает у достаточного числа клиентов.</x:v>
      </x:c>
      <x:c r="D8" s="4" t="str">
        <x:v>Продажи / сегменты / интервью</x:v>
      </x:c>
      <x:c r="E8" s="4" t="str"/>
      <x:c r="F8" s="13" t="n">
        <x:v>0</x:v>
      </x:c>
      <x:c r="G8" s="13" t="n">
        <x:v>0</x:v>
      </x:c>
      <x:c r="H8" s="4" t="str">
        <x:v>нет</x:v>
      </x:c>
      <x:c r="I8" s="4" t="str"/>
      <x:c r="J8" s="4" t="str">
        <x:v>Раздел 4</x:v>
      </x:c>
    </x:row>
    <x:row r="9">
      <x:c r="A9" s="4" t="str">
        <x:v>E08</x:v>
      </x:c>
      <x:c r="B9" s="4" t="str">
        <x:v>Сцена</x:v>
      </x:c>
      <x:c r="C9" s="4" t="str">
        <x:v>Сцена может быть названа просто и управленчески.</x:v>
      </x:c>
      <x:c r="D9" s="4" t="str">
        <x:v>Клиентский путь</x:v>
      </x:c>
      <x:c r="E9" s="4" t="str"/>
      <x:c r="F9" s="13" t="n">
        <x:v>0</x:v>
      </x:c>
      <x:c r="G9" s="13" t="n">
        <x:v>0</x:v>
      </x:c>
      <x:c r="H9" s="4" t="str">
        <x:v>нет</x:v>
      </x:c>
      <x:c r="I9" s="4" t="str"/>
      <x:c r="J9" s="4" t="str">
        <x:v>Раздел 4</x:v>
      </x:c>
    </x:row>
    <x:row r="10">
      <x:c r="A10" s="4" t="str">
        <x:v>E09</x:v>
      </x:c>
      <x:c r="B10" s="4" t="str">
        <x:v>Сцена</x:v>
      </x:c>
      <x:c r="C10" s="4" t="str">
        <x:v>Сцена не зависит только от скидки или случайного трафика.</x:v>
      </x:c>
      <x:c r="D10" s="4" t="str">
        <x:v>Промо-доля / каналы</x:v>
      </x:c>
      <x:c r="E10" s="4" t="str"/>
      <x:c r="F10" s="13" t="n">
        <x:v>0</x:v>
      </x:c>
      <x:c r="G10" s="13" t="n">
        <x:v>0</x:v>
      </x:c>
      <x:c r="H10" s="4" t="str">
        <x:v>нет</x:v>
      </x:c>
      <x:c r="I10" s="4" t="str"/>
      <x:c r="J10" s="4" t="str">
        <x:v>Раздел 5</x:v>
      </x:c>
    </x:row>
    <x:row r="11">
      <x:c r="A11" s="4" t="str">
        <x:v>E10</x:v>
      </x:c>
      <x:c r="B11" s="4" t="str">
        <x:v>Сцена</x:v>
      </x:c>
      <x:c r="C11" s="4" t="str">
        <x:v>Сцена связана с продуктом, упаковкой или сервисом.</x:v>
      </x:c>
      <x:c r="D11" s="4" t="str">
        <x:v>Аудит продукта</x:v>
      </x:c>
      <x:c r="E11" s="4" t="str"/>
      <x:c r="F11" s="13" t="n">
        <x:v>0</x:v>
      </x:c>
      <x:c r="G11" s="13" t="n">
        <x:v>0</x:v>
      </x:c>
      <x:c r="H11" s="4" t="str">
        <x:v>нет</x:v>
      </x:c>
      <x:c r="I11" s="4" t="str"/>
      <x:c r="J11" s="4" t="str">
        <x:v>Раздел 6</x:v>
      </x:c>
    </x:row>
    <x:row r="12">
      <x:c r="A12" s="4" t="str">
        <x:v>E11</x:v>
      </x:c>
      <x:c r="B12" s="4" t="str">
        <x:v>Ритуал</x:v>
      </x:c>
      <x:c r="C12" s="4" t="str">
        <x:v>Потребитель может повторять действие.</x:v>
      </x:c>
      <x:c r="D12" s="4" t="str">
        <x:v>Повторная покупка / цикл использования</x:v>
      </x:c>
      <x:c r="E12" s="4" t="str"/>
      <x:c r="F12" s="13" t="n">
        <x:v>0</x:v>
      </x:c>
      <x:c r="G12" s="13" t="n">
        <x:v>0</x:v>
      </x:c>
      <x:c r="H12" s="4" t="str">
        <x:v>нет</x:v>
      </x:c>
      <x:c r="I12" s="4" t="str"/>
      <x:c r="J12" s="4" t="str">
        <x:v>Раздел 4</x:v>
      </x:c>
    </x:row>
    <x:row r="13">
      <x:c r="A13" s="4" t="str">
        <x:v>E12</x:v>
      </x:c>
      <x:c r="B13" s="4" t="str">
        <x:v>Ритуал</x:v>
      </x:c>
      <x:c r="C13" s="4" t="str">
        <x:v>Ритуал можно закрепить продуктово или коммуникационно.</x:v>
      </x:c>
      <x:c r="D13" s="4" t="str">
        <x:v>Упаковка / контент / канал</x:v>
      </x:c>
      <x:c r="E13" s="4" t="str"/>
      <x:c r="F13" s="13" t="n">
        <x:v>0</x:v>
      </x:c>
      <x:c r="G13" s="13" t="n">
        <x:v>0</x:v>
      </x:c>
      <x:c r="H13" s="4" t="str">
        <x:v>нет</x:v>
      </x:c>
      <x:c r="I13" s="4" t="str"/>
      <x:c r="J13" s="4" t="str">
        <x:v>Раздел 4</x:v>
      </x:c>
    </x:row>
    <x:row r="14">
      <x:c r="A14" s="4" t="str">
        <x:v>E13</x:v>
      </x:c>
      <x:c r="B14" s="4" t="str">
        <x:v>Ритуал</x:v>
      </x:c>
      <x:c r="C14" s="4" t="str">
        <x:v>Ритуал не разрушает маржу.</x:v>
      </x:c>
      <x:c r="D14" s="4" t="str">
        <x:v>Маржа / скидки / себестоимость</x:v>
      </x:c>
      <x:c r="E14" s="4" t="str"/>
      <x:c r="F14" s="13" t="n">
        <x:v>0</x:v>
      </x:c>
      <x:c r="G14" s="13" t="n">
        <x:v>0</x:v>
      </x:c>
      <x:c r="H14" s="4" t="str">
        <x:v>нет</x:v>
      </x:c>
      <x:c r="I14" s="4" t="str"/>
      <x:c r="J14" s="4" t="str">
        <x:v>Раздел 5</x:v>
      </x:c>
    </x:row>
    <x:row r="15">
      <x:c r="A15" s="4" t="str">
        <x:v>E14</x:v>
      </x:c>
      <x:c r="B15" s="4" t="str">
        <x:v>Ритуал</x:v>
      </x:c>
      <x:c r="C15" s="4" t="str">
        <x:v>Ритуал дает повод вернуться без постоянного промо.</x:v>
      </x:c>
      <x:c r="D15" s="4" t="str">
        <x:v>CRM / повторная покупка</x:v>
      </x:c>
      <x:c r="E15" s="4" t="str"/>
      <x:c r="F15" s="13" t="n">
        <x:v>0</x:v>
      </x:c>
      <x:c r="G15" s="13" t="n">
        <x:v>0</x:v>
      </x:c>
      <x:c r="H15" s="4" t="str">
        <x:v>нет</x:v>
      </x:c>
      <x:c r="I15" s="4" t="str"/>
      <x:c r="J15" s="4" t="str">
        <x:v>Раздел 5</x:v>
      </x:c>
    </x:row>
    <x:row r="16">
      <x:c r="A16" s="4" t="str">
        <x:v>E15</x:v>
      </x:c>
      <x:c r="B16" s="4" t="str">
        <x:v>Ритуал</x:v>
      </x:c>
      <x:c r="C16" s="4" t="str">
        <x:v>Ритуал можно измерять.</x:v>
      </x:c>
      <x:c r="D16" s="4" t="str">
        <x:v>Метрики / данные</x:v>
      </x:c>
      <x:c r="E16" s="4" t="str"/>
      <x:c r="F16" s="13" t="n">
        <x:v>0</x:v>
      </x:c>
      <x:c r="G16" s="13" t="n">
        <x:v>0</x:v>
      </x:c>
      <x:c r="H16" s="4" t="str">
        <x:v>нет</x:v>
      </x:c>
      <x:c r="I16" s="4" t="str"/>
      <x:c r="J16" s="4" t="str">
        <x:v>Раздел 5</x:v>
      </x:c>
    </x:row>
    <x:row r="17">
      <x:c r="A17" s="4" t="str">
        <x:v>E16</x:v>
      </x:c>
      <x:c r="B17" s="4" t="str">
        <x:v>Сигнал</x:v>
      </x:c>
      <x:c r="C17" s="4" t="str">
        <x:v>Есть управляемый сигнал возврата.</x:v>
      </x:c>
      <x:c r="D17" s="4" t="str">
        <x:v>Упаковка / напоминание / ассортимент</x:v>
      </x:c>
      <x:c r="E17" s="4" t="str"/>
      <x:c r="F17" s="13" t="n">
        <x:v>0</x:v>
      </x:c>
      <x:c r="G17" s="13" t="n">
        <x:v>0</x:v>
      </x:c>
      <x:c r="H17" s="4" t="str">
        <x:v>нет</x:v>
      </x:c>
      <x:c r="I17" s="4" t="str"/>
      <x:c r="J17" s="4" t="str">
        <x:v>Раздел 4</x:v>
      </x:c>
    </x:row>
    <x:row r="18">
      <x:c r="A18" s="4" t="str">
        <x:v>E17</x:v>
      </x:c>
      <x:c r="B18" s="4" t="str">
        <x:v>Сигнал</x:v>
      </x:c>
      <x:c r="C18" s="4" t="str">
        <x:v>Сигнал связан с мотивом, а не с механической скидкой.</x:v>
      </x:c>
      <x:c r="D18" s="4" t="str">
        <x:v>Коммуникации / CRM</x:v>
      </x:c>
      <x:c r="E18" s="4" t="str"/>
      <x:c r="F18" s="13" t="n">
        <x:v>0</x:v>
      </x:c>
      <x:c r="G18" s="13" t="n">
        <x:v>0</x:v>
      </x:c>
      <x:c r="H18" s="4" t="str">
        <x:v>нет</x:v>
      </x:c>
      <x:c r="I18" s="4" t="str"/>
      <x:c r="J18" s="4" t="str">
        <x:v>Раздел 4</x:v>
      </x:c>
    </x:row>
    <x:row r="19">
      <x:c r="A19" s="4" t="str">
        <x:v>E18</x:v>
      </x:c>
      <x:c r="B19" s="4" t="str">
        <x:v>Сигнал</x:v>
      </x:c>
      <x:c r="C19" s="4" t="str">
        <x:v>Сигнал можно встроить в канал продаж.</x:v>
      </x:c>
      <x:c r="D19" s="4" t="str">
        <x:v>Маркетплейс / розница / D2C, прямые продажи</x:v>
      </x:c>
      <x:c r="E19" s="4" t="str"/>
      <x:c r="F19" s="13" t="n">
        <x:v>0</x:v>
      </x:c>
      <x:c r="G19" s="13" t="n">
        <x:v>0</x:v>
      </x:c>
      <x:c r="H19" s="4" t="str">
        <x:v>нет</x:v>
      </x:c>
      <x:c r="I19" s="4" t="str"/>
      <x:c r="J19" s="4" t="str">
        <x:v>Раздел 6</x:v>
      </x:c>
    </x:row>
    <x:row r="20">
      <x:c r="A20" s="4" t="str">
        <x:v>E19</x:v>
      </x:c>
      <x:c r="B20" s="4" t="str">
        <x:v>Сигнал</x:v>
      </x:c>
      <x:c r="C20" s="4" t="str">
        <x:v>Сигнал не обещает непроверяемый эффект.</x:v>
      </x:c>
      <x:c r="D20" s="4" t="str">
        <x:v>Юридический / бренд-контроль</x:v>
      </x:c>
      <x:c r="E20" s="4" t="str"/>
      <x:c r="F20" s="13" t="n">
        <x:v>0</x:v>
      </x:c>
      <x:c r="G20" s="13" t="n">
        <x:v>0</x:v>
      </x:c>
      <x:c r="H20" s="4" t="str">
        <x:v>нет</x:v>
      </x:c>
      <x:c r="I20" s="4" t="str"/>
      <x:c r="J20" s="4" t="str">
        <x:v>Раздел 5</x:v>
      </x:c>
    </x:row>
    <x:row r="21">
      <x:c r="A21" s="4" t="str">
        <x:v>E20</x:v>
      </x:c>
      <x:c r="B21" s="4" t="str">
        <x:v>Сигнал</x:v>
      </x:c>
      <x:c r="C21" s="4" t="str">
        <x:v>Сигнал поддерживается продуктовой реальностью.</x:v>
      </x:c>
      <x:c r="D21" s="4" t="str">
        <x:v>Качество / сервис / упаковка</x:v>
      </x:c>
      <x:c r="E21" s="4" t="str"/>
      <x:c r="F21" s="13" t="n">
        <x:v>0</x:v>
      </x:c>
      <x:c r="G21" s="13" t="n">
        <x:v>0</x:v>
      </x:c>
      <x:c r="H21" s="4" t="str">
        <x:v>нет</x:v>
      </x:c>
      <x:c r="I21" s="4" t="str"/>
      <x:c r="J21" s="4" t="str">
        <x:v>Раздел 6</x:v>
      </x:c>
    </x:row>
    <x:row r="22">
      <x:c r="A22" s="4" t="str">
        <x:v>E21</x:v>
      </x:c>
      <x:c r="B22" s="4" t="str">
        <x:v>Повторяемость</x:v>
      </x:c>
      <x:c r="C22" s="4" t="str">
        <x:v>Покупка или использование имеет цикл.</x:v>
      </x:c>
      <x:c r="D22" s="4" t="str">
        <x:v>Частота / сезонность / расход</x:v>
      </x:c>
      <x:c r="E22" s="4" t="str"/>
      <x:c r="F22" s="13" t="n">
        <x:v>0</x:v>
      </x:c>
      <x:c r="G22" s="13" t="n">
        <x:v>0</x:v>
      </x:c>
      <x:c r="H22" s="4" t="str">
        <x:v>нет</x:v>
      </x:c>
      <x:c r="I22" s="4" t="str"/>
      <x:c r="J22" s="4" t="str">
        <x:v>Раздел 4</x:v>
      </x:c>
    </x:row>
    <x:row r="23">
      <x:c r="A23" s="4" t="str">
        <x:v>E22</x:v>
      </x:c>
      <x:c r="B23" s="4" t="str">
        <x:v>Повторяемость</x:v>
      </x:c>
      <x:c r="C23" s="4" t="str">
        <x:v>Повторяемость можно отличить от разового всплеска.</x:v>
      </x:c>
      <x:c r="D23" s="4" t="str">
        <x:v>Когорты / продажи / промо</x:v>
      </x:c>
      <x:c r="E23" s="4" t="str"/>
      <x:c r="F23" s="13" t="n">
        <x:v>0</x:v>
      </x:c>
      <x:c r="G23" s="13" t="n">
        <x:v>0</x:v>
      </x:c>
      <x:c r="H23" s="4" t="str">
        <x:v>нет</x:v>
      </x:c>
      <x:c r="I23" s="4" t="str"/>
      <x:c r="J23" s="4" t="str">
        <x:v>Раздел 5</x:v>
      </x:c>
    </x:row>
    <x:row r="24">
      <x:c r="A24" s="4" t="str">
        <x:v>E23</x:v>
      </x:c>
      <x:c r="B24" s="4" t="str">
        <x:v>Повторяемость</x:v>
      </x:c>
      <x:c r="C24" s="4" t="str">
        <x:v>Есть канал наблюдения повторяемости.</x:v>
      </x:c>
      <x:c r="D24" s="4" t="str">
        <x:v>CRM / маркетплейс / розница</x:v>
      </x:c>
      <x:c r="E24" s="4" t="str"/>
      <x:c r="F24" s="13" t="n">
        <x:v>0</x:v>
      </x:c>
      <x:c r="G24" s="13" t="n">
        <x:v>0</x:v>
      </x:c>
      <x:c r="H24" s="4" t="str">
        <x:v>нет</x:v>
      </x:c>
      <x:c r="I24" s="4" t="str"/>
      <x:c r="J24" s="4" t="str">
        <x:v>Раздел 5</x:v>
      </x:c>
    </x:row>
    <x:row r="25">
      <x:c r="A25" s="4" t="str">
        <x:v>E24</x:v>
      </x:c>
      <x:c r="B25" s="4" t="str">
        <x:v>Повторяемость</x:v>
      </x:c>
      <x:c r="C25" s="4" t="str">
        <x:v>Повторяемость не строится только на цене.</x:v>
      </x:c>
      <x:c r="D25" s="4" t="str">
        <x:v>Промо-доля / скидки</x:v>
      </x:c>
      <x:c r="E25" s="4" t="str"/>
      <x:c r="F25" s="13" t="n">
        <x:v>0</x:v>
      </x:c>
      <x:c r="G25" s="13" t="n">
        <x:v>0</x:v>
      </x:c>
      <x:c r="H25" s="4" t="str">
        <x:v>нет</x:v>
      </x:c>
      <x:c r="I25" s="4" t="str"/>
      <x:c r="J25" s="4" t="str">
        <x:v>Раздел 5</x:v>
      </x:c>
    </x:row>
    <x:row r="26">
      <x:c r="A26" s="4" t="str">
        <x:v>E25</x:v>
      </x:c>
      <x:c r="B26" s="4" t="str">
        <x:v>Повторяемость</x:v>
      </x:c>
      <x:c r="C26" s="4" t="str">
        <x:v>Повторяемость может стать управленческим ритмом.</x:v>
      </x:c>
      <x:c r="D26" s="4" t="str">
        <x:v>Команда / отчетность</x:v>
      </x:c>
      <x:c r="E26" s="4" t="str"/>
      <x:c r="F26" s="13" t="n">
        <x:v>0</x:v>
      </x:c>
      <x:c r="G26" s="13" t="n">
        <x:v>0</x:v>
      </x:c>
      <x:c r="H26" s="4" t="str">
        <x:v>нет</x:v>
      </x:c>
      <x:c r="I26" s="4" t="str"/>
      <x:c r="J26" s="4" t="str">
        <x:v>Раздел 7</x:v>
      </x:c>
    </x:row>
    <x:row r="27">
      <x:c r="A27" s="4" t="str">
        <x:v>E26</x:v>
      </x:c>
      <x:c r="B27" s="4" t="str">
        <x:v>Финансовый эффект</x:v>
      </x:c>
      <x:c r="C27" s="4" t="str">
        <x:v>Есть маржинальная причина перехода.</x:v>
      </x:c>
      <x:c r="D27" s="4" t="str">
        <x:v>P&amp;L / маржа / скидки</x:v>
      </x:c>
      <x:c r="E27" s="4" t="str"/>
      <x:c r="F27" s="13" t="n">
        <x:v>0</x:v>
      </x:c>
      <x:c r="G27" s="13" t="n">
        <x:v>0</x:v>
      </x:c>
      <x:c r="H27" s="4" t="str">
        <x:v>нет</x:v>
      </x:c>
      <x:c r="I27" s="4" t="str"/>
      <x:c r="J27" s="4" t="str">
        <x:v>Раздел 5</x:v>
      </x:c>
    </x:row>
    <x:row r="28">
      <x:c r="A28" s="4" t="str">
        <x:v>E27</x:v>
      </x:c>
      <x:c r="B28" s="4" t="str">
        <x:v>Финансовый эффект</x:v>
      </x:c>
      <x:c r="C28" s="4" t="str">
        <x:v>Есть измеримые метрики результата.</x:v>
      </x:c>
      <x:c r="D28" s="4" t="str">
        <x:v>CAC / LTV / частота / ROMI</x:v>
      </x:c>
      <x:c r="E28" s="4" t="str"/>
      <x:c r="F28" s="13" t="n">
        <x:v>0</x:v>
      </x:c>
      <x:c r="G28" s="13" t="n">
        <x:v>0</x:v>
      </x:c>
      <x:c r="H28" s="4" t="str">
        <x:v>нет</x:v>
      </x:c>
      <x:c r="I28" s="4" t="str"/>
      <x:c r="J28" s="4" t="str">
        <x:v>Раздел 5</x:v>
      </x:c>
    </x:row>
    <x:row r="29">
      <x:c r="A29" s="4" t="str">
        <x:v>E28</x:v>
      </x:c>
      <x:c r="B29" s="4" t="str">
        <x:v>Финансовый эффект</x:v>
      </x:c>
      <x:c r="C29" s="4" t="str">
        <x:v>Эффект можно считать без фантазийных обещаний.</x:v>
      </x:c>
      <x:c r="D29" s="4" t="str">
        <x:v>Финансовая модель</x:v>
      </x:c>
      <x:c r="E29" s="4" t="str"/>
      <x:c r="F29" s="13" t="n">
        <x:v>0</x:v>
      </x:c>
      <x:c r="G29" s="13" t="n">
        <x:v>0</x:v>
      </x:c>
      <x:c r="H29" s="4" t="str">
        <x:v>нет</x:v>
      </x:c>
      <x:c r="I29" s="4" t="str"/>
      <x:c r="J29" s="4" t="str">
        <x:v>Раздел 5</x:v>
      </x:c>
    </x:row>
    <x:row r="30">
      <x:c r="A30" s="4" t="str">
        <x:v>E29</x:v>
      </x:c>
      <x:c r="B30" s="4" t="str">
        <x:v>Финансовый эффект</x:v>
      </x:c>
      <x:c r="C30" s="4" t="str">
        <x:v>Есть владелец экономики проекта.</x:v>
      </x:c>
      <x:c r="D30" s="4" t="str">
        <x:v>Собственник / CEO / финансы</x:v>
      </x:c>
      <x:c r="E30" s="4" t="str"/>
      <x:c r="F30" s="13" t="n">
        <x:v>0</x:v>
      </x:c>
      <x:c r="G30" s="13" t="n">
        <x:v>0</x:v>
      </x:c>
      <x:c r="H30" s="4" t="str">
        <x:v>нет</x:v>
      </x:c>
      <x:c r="I30" s="4" t="str"/>
      <x:c r="J30" s="4" t="str">
        <x:v>Раздел 7</x:v>
      </x:c>
    </x:row>
    <x:row r="31">
      <x:c r="A31" s="4" t="str">
        <x:v>E30</x:v>
      </x:c>
      <x:c r="B31" s="4" t="str">
        <x:v>Финансовый эффект</x:v>
      </x:c>
      <x:c r="C31" s="4" t="str">
        <x:v>Следующий этап имеет понятный коммерческий смысл.</x:v>
      </x:c>
      <x:c r="D31" s="4" t="str">
        <x:v>Gate-протокол / отчет</x:v>
      </x:c>
      <x:c r="E31" s="4" t="str"/>
      <x:c r="F31" s="13" t="n">
        <x:v>0</x:v>
      </x:c>
      <x:c r="G31" s="13" t="n">
        <x:v>0</x:v>
      </x:c>
      <x:c r="H31" s="4" t="str">
        <x:v>нет</x:v>
      </x:c>
      <x:c r="I31" s="4" t="str"/>
      <x:c r="J31" s="4" t="str">
        <x:v>Раздел 7</x:v>
      </x:c>
    </x:row>
  </x:sheetData>
  <x:conditionalFormatting sqref="H2:H31">
    <x:cfRule type="containsText" dxfId="0" priority="1" operator="containsText" text="критический"/>
  </x:conditionalFormatting>
  <x:conditionalFormatting sqref="F2:G31">
    <x:cfRule type="cellIs" dxfId="1" priority="2" operator="greaterThanOrEqual">
      <x:formula>2</x:formula>
    </x:cfRule>
  </x:conditionalFormatting>
  <x:dataValidations count="2">
    <x:dataValidation type="whole" operator="between" sqref="F2:G31">
      <x:formula1>0</x:formula1>
      <x:formula2>3</x:formula2>
    </x:dataValidation>
    <x:dataValidation type="list" sqref="H2:H31">
      <x:formula1>"нет,низкий,средний,критический"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eaf3164c4947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20" hidden="0" customWidth="1"/>
    <x:col min="6" max="6" width="62" hidden="0" customWidth="1"/>
  </x:cols>
  <x:sheetData>
    <x:row r="1" ht="32" customHeight="1">
      <x:c r="A1" s="8" t="str">
        <x:v>Блок</x:v>
      </x:c>
      <x:c r="B1" s="8" t="str">
        <x:v>Средняя сила</x:v>
      </x:c>
      <x:c r="C1" s="8" t="str">
        <x:v>Средняя надежность</x:v>
      </x:c>
      <x:c r="D1" s="8" t="str">
        <x:v>Критические риски</x:v>
      </x:c>
      <x:c r="E1" s="8" t="str">
        <x:v>Статус</x:v>
      </x:c>
      <x:c r="F1" s="8" t="str">
        <x:v>Комментарий</x:v>
      </x:c>
    </x:row>
    <x:row r="2">
      <x:c r="A2" s="4" t="str">
        <x:v>Мотив</x:v>
      </x:c>
      <x:c r="B2" s="14" t="n">
        <x:f>AVERAGEIF('01_Доказательства'!$B$2:$B$31,A2,'01_Доказательства'!$F$2:$F$31)</x:f>
        <x:v>0</x:v>
      </x:c>
      <x:c r="C2" s="14" t="n">
        <x:f>AVERAGEIF('01_Доказательства'!$B$2:$B$31,A2,'01_Доказательства'!$G$2:$G$31)</x:f>
        <x:v>0</x:v>
      </x:c>
      <x:c r="D2" s="4" t="n">
        <x:f>COUNTIFS('01_Доказательства'!$B$2:$B$31,A2,'01_Доказательства'!$H$2:$H$31,"критический")</x:f>
        <x:v>0</x:v>
      </x:c>
      <x:c r="E2" s="4" t="str">
        <x:f>IF(D2&gt;0,"стоп",IF(AND(B2&gt;=2,C2&gt;=2),"подтвержден",IF(AND(B2&gt;=1.5,C2&gt;=1.5),"условно","не подтвержден")))</x:f>
        <x:v>не подтвержден</x:v>
      </x:c>
      <x:c r="F2" s="4" t="str">
        <x:v>Если мотив не подтвержден, технология не запускается.</x:v>
      </x:c>
    </x:row>
    <x:row r="3">
      <x:c r="A3" s="4" t="str">
        <x:v>Сцена</x:v>
      </x:c>
      <x:c r="B3" s="14" t="n">
        <x:f>AVERAGEIF('01_Доказательства'!$B$2:$B$31,A3,'01_Доказательства'!$F$2:$F$31)</x:f>
        <x:v>0</x:v>
      </x:c>
      <x:c r="C3" s="14" t="n">
        <x:f>AVERAGEIF('01_Доказательства'!$B$2:$B$31,A3,'01_Доказательства'!$G$2:$G$31)</x:f>
        <x:v>0</x:v>
      </x:c>
      <x:c r="D3" s="4" t="n">
        <x:f>COUNTIFS('01_Доказательства'!$B$2:$B$31,A3,'01_Доказательства'!$H$2:$H$31,"критический")</x:f>
        <x:v>0</x:v>
      </x:c>
      <x:c r="E3" s="4" t="str">
        <x:f>IF(D3&gt;0,"стоп",IF(AND(B3&gt;=2,C3&gt;=2),"подтвержден",IF(AND(B3&gt;=1.5,C3&gt;=1.5),"условно","не подтвержден")))</x:f>
        <x:v>не подтвержден</x:v>
      </x:c>
      <x:c r="F3" s="4" t="str">
        <x:v>Сцена показывает, где поведение может повторяться.</x:v>
      </x:c>
    </x:row>
    <x:row r="4">
      <x:c r="A4" s="4" t="str">
        <x:v>Ритуал</x:v>
      </x:c>
      <x:c r="B4" s="14" t="n">
        <x:f>AVERAGEIF('01_Доказательства'!$B$2:$B$31,A4,'01_Доказательства'!$F$2:$F$31)</x:f>
        <x:v>0</x:v>
      </x:c>
      <x:c r="C4" s="14" t="n">
        <x:f>AVERAGEIF('01_Доказательства'!$B$2:$B$31,A4,'01_Доказательства'!$G$2:$G$31)</x:f>
        <x:v>0</x:v>
      </x:c>
      <x:c r="D4" s="4" t="n">
        <x:f>COUNTIFS('01_Доказательства'!$B$2:$B$31,A4,'01_Доказательства'!$H$2:$H$31,"критический")</x:f>
        <x:v>0</x:v>
      </x:c>
      <x:c r="E4" s="4" t="str">
        <x:f>IF(D4&gt;0,"стоп",IF(AND(B4&gt;=2,C4&gt;=2),"подтвержден",IF(AND(B4&gt;=1.5,C4&gt;=1.5),"условно","не подтвержден")))</x:f>
        <x:v>не подтвержден</x:v>
      </x:c>
      <x:c r="F4" s="4" t="str">
        <x:v>Ритуал переводит сцену в повторяемое действие.</x:v>
      </x:c>
    </x:row>
    <x:row r="5">
      <x:c r="A5" s="4" t="str">
        <x:v>Сигнал</x:v>
      </x:c>
      <x:c r="B5" s="14" t="n">
        <x:f>AVERAGEIF('01_Доказательства'!$B$2:$B$31,A5,'01_Доказательства'!$F$2:$F$31)</x:f>
        <x:v>0</x:v>
      </x:c>
      <x:c r="C5" s="14" t="n">
        <x:f>AVERAGEIF('01_Доказательства'!$B$2:$B$31,A5,'01_Доказательства'!$G$2:$G$31)</x:f>
        <x:v>0</x:v>
      </x:c>
      <x:c r="D5" s="4" t="n">
        <x:f>COUNTIFS('01_Доказательства'!$B$2:$B$31,A5,'01_Доказательства'!$H$2:$H$31,"критический")</x:f>
        <x:v>0</x:v>
      </x:c>
      <x:c r="E5" s="4" t="str">
        <x:f>IF(D5&gt;0,"стоп",IF(AND(B5&gt;=2,C5&gt;=2),"подтвержден",IF(AND(B5&gt;=1.5,C5&gt;=1.5),"условно","не подтвержден")))</x:f>
        <x:v>не подтвержден</x:v>
      </x:c>
      <x:c r="F5" s="4" t="str">
        <x:v>Сигнал возвращает потребителя к повторению.</x:v>
      </x:c>
    </x:row>
    <x:row r="6">
      <x:c r="A6" s="4" t="str">
        <x:v>Повторяемость</x:v>
      </x:c>
      <x:c r="B6" s="14" t="n">
        <x:f>AVERAGEIF('01_Доказательства'!$B$2:$B$31,A6,'01_Доказательства'!$F$2:$F$31)</x:f>
        <x:v>0</x:v>
      </x:c>
      <x:c r="C6" s="14" t="n">
        <x:f>AVERAGEIF('01_Доказательства'!$B$2:$B$31,A6,'01_Доказательства'!$G$2:$G$31)</x:f>
        <x:v>0</x:v>
      </x:c>
      <x:c r="D6" s="4" t="n">
        <x:f>COUNTIFS('01_Доказательства'!$B$2:$B$31,A6,'01_Доказательства'!$H$2:$H$31,"критический")</x:f>
        <x:v>0</x:v>
      </x:c>
      <x:c r="E6" s="4" t="str">
        <x:f>IF(D6&gt;0,"стоп",IF(AND(B6&gt;=2,C6&gt;=2),"подтвержден",IF(AND(B6&gt;=1.5,C6&gt;=1.5),"условно","не подтвержден")))</x:f>
        <x:v>не подтвержден</x:v>
      </x:c>
      <x:c r="F6" s="4" t="str">
        <x:v>Повторяемость отличает стратегию от разового промо.</x:v>
      </x:c>
    </x:row>
    <x:row r="7">
      <x:c r="A7" s="4" t="str">
        <x:v>Финансовый эффект</x:v>
      </x:c>
      <x:c r="B7" s="14" t="n">
        <x:f>AVERAGEIF('01_Доказательства'!$B$2:$B$31,A7,'01_Доказательства'!$F$2:$F$31)</x:f>
        <x:v>0</x:v>
      </x:c>
      <x:c r="C7" s="14" t="n">
        <x:f>AVERAGEIF('01_Доказательства'!$B$2:$B$31,A7,'01_Доказательства'!$G$2:$G$31)</x:f>
        <x:v>0</x:v>
      </x:c>
      <x:c r="D7" s="4" t="n">
        <x:f>COUNTIFS('01_Доказательства'!$B$2:$B$31,A7,'01_Доказательства'!$H$2:$H$31,"критический")</x:f>
        <x:v>0</x:v>
      </x:c>
      <x:c r="E7" s="4" t="str">
        <x:f>IF(D7&gt;0,"стоп",IF(AND(B7&gt;=2,C7&gt;=2),"подтвержден",IF(AND(B7&gt;=1.5,C7&gt;=1.5),"условно","не подтвержден")))</x:f>
        <x:v>не подтвержден</x:v>
      </x:c>
      <x:c r="F7" s="4" t="str">
        <x:v>Финансовый эффект не обещается, а проверяется через данные.</x:v>
      </x:c>
    </x:row>
  </x:sheetData>
  <x:conditionalFormatting sqref="E2:E7">
    <x:cfRule type="containsText" dxfId="2" priority="1" operator="containsText" text="стоп"/>
    <x:cfRule type="containsText" dxfId="3" priority="2" operator="containsText" text="подтвержден"/>
  </x:conditionalFormatting>
  <x:pageMargins left="0.7" right="0.7" top="0.75" bottom="0.75" header="0.3" footer="0.3"/>
  <x:tableParts count="1">
    <x:tablePart xmlns:r="http://schemas.openxmlformats.org/officeDocument/2006/relationships" r:id="Rcb74f47326fd41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44" hidden="0" customWidth="1"/>
    <x:col min="4" max="4" width="26" hidden="0" customWidth="1"/>
    <x:col min="5" max="5" width="38" hidden="0" customWidth="1"/>
  </x:cols>
  <x:sheetData>
    <x:row r="1" ht="32" customHeight="1">
      <x:c r="A1" s="8" t="str">
        <x:v>Gate</x:v>
      </x:c>
      <x:c r="B1" s="8" t="str">
        <x:v>Критерий</x:v>
      </x:c>
      <x:c r="C1" s="8" t="str">
        <x:v>Факт клиента</x:v>
      </x:c>
      <x:c r="D1" s="8" t="str">
        <x:v>Решение</x:v>
      </x:c>
      <x:c r="E1" s="8" t="str">
        <x:v>Комментарий</x:v>
      </x:c>
    </x:row>
    <x:row r="2">
      <x:c r="A2" s="4" t="str">
        <x:v>G0. Допуск</x:v>
      </x:c>
      <x:c r="B2" s="4" t="str">
        <x:v>Клиент покупает управленческий переход, а не SMM, community, бренд-сессию или контент.</x:v>
      </x:c>
      <x:c r="C2" s="4" t="str"/>
      <x:c r="D2" s="4" t="str">
        <x:v>Go / Conditional Go / No Go</x:v>
      </x:c>
      <x:c r="E2" s="4" t="str"/>
    </x:row>
    <x:row r="3">
      <x:c r="A3" s="4" t="str">
        <x:v>G1. Данные</x:v>
      </x:c>
      <x:c r="B3" s="4" t="str">
        <x:v>Есть данные по продажам, марже, каналам, промо-доле и повторной покупке или их заменители.</x:v>
      </x:c>
      <x:c r="C3" s="4" t="str"/>
      <x:c r="D3" s="4" t="str">
        <x:v>Go / Conditional Go / No Go</x:v>
      </x:c>
      <x:c r="E3" s="4" t="str"/>
    </x:row>
    <x:row r="4">
      <x:c r="A4" s="4" t="str">
        <x:v>G2. Категория</x:v>
      </x:c>
      <x:c r="B4" s="4" t="str">
        <x:v>Категория допускает регулярность, расход, цикл возврата или повторный сценарий.</x:v>
      </x:c>
      <x:c r="C4" s="4" t="str"/>
      <x:c r="D4" s="4" t="str">
        <x:v>Go / Conditional Go / No Go</x:v>
      </x:c>
      <x:c r="E4" s="4" t="str"/>
    </x:row>
    <x:row r="5">
      <x:c r="A5" s="4" t="str">
        <x:v>G3. Цепочка</x:v>
      </x:c>
      <x:c r="B5" s="4" t="str">
        <x:v>Подтверждены минимум три звена: мотив, сцена, ритуал, сигнал, повторяемость, финансовый эффект.</x:v>
      </x:c>
      <x:c r="C5" s="4" t="str"/>
      <x:c r="D5" s="4" t="str">
        <x:v>Go / Conditional Go / No Go</x:v>
      </x:c>
      <x:c r="E5" s="4" t="str"/>
    </x:row>
    <x:row r="6">
      <x:c r="A6" s="4" t="str">
        <x:v>G4. Экономика</x:v>
      </x:c>
      <x:c r="B6" s="4" t="str">
        <x:v>Есть финансовый смысл: маржа, CAC, стоимость привлечения клиента, LTV, пожизненная ценность клиента, промо-доля или частота.</x:v>
      </x:c>
      <x:c r="C6" s="4" t="str"/>
      <x:c r="D6" s="4" t="str">
        <x:v>Go / Conditional Go / No Go</x:v>
      </x:c>
      <x:c r="E6" s="4" t="str"/>
    </x:row>
    <x:row r="7">
      <x:c r="A7" s="4" t="str">
        <x:v>G5. Управляемость</x:v>
      </x:c>
      <x:c r="B7" s="4" t="str">
        <x:v>Есть владелец решения и доступ к продукту, маркетингу, продажам и данным.</x:v>
      </x:c>
      <x:c r="C7" s="4" t="str"/>
      <x:c r="D7" s="4" t="str">
        <x:v>Go / Conditional Go / No Go</x:v>
      </x:c>
      <x:c r="E7" s="4" t="str"/>
    </x:row>
  </x:sheetData>
  <x:dataValidations count="1">
    <x:dataValidation type="list" sqref="D2:D7">
      <x:formula1>"Go,Conditional Go,No Go"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2c6944e59649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54" hidden="0" customWidth="1"/>
    <x:col min="5" max="5" width="54" hidden="0" customWidth="1"/>
  </x:cols>
  <x:sheetData>
    <x:row r="1" ht="32" customHeight="1">
      <x:c r="A1" s="8" t="str">
        <x:v>Метрика</x:v>
      </x:c>
      <x:c r="B1" s="8" t="str">
        <x:v>Единица</x:v>
      </x:c>
      <x:c r="C1" s="8" t="str">
        <x:v>Значение клиента</x:v>
      </x:c>
      <x:c r="D1" s="8" t="str">
        <x:v>Зачем нужна</x:v>
      </x:c>
      <x:c r="E1" s="8" t="str">
        <x:v>Ограничение</x:v>
      </x:c>
    </x:row>
    <x:row r="2">
      <x:c r="A2" s="4" t="str">
        <x:v>Выручка ключевой категории</x:v>
      </x:c>
      <x:c r="B2" s="4" t="str">
        <x:v>руб.</x:v>
      </x:c>
      <x:c r="C2" s="4" t="str"/>
      <x:c r="D2" s="4" t="str">
        <x:v>Фиксирует масштаб задачи и базу расчета.</x:v>
      </x:c>
      <x:c r="E2" s="4" t="str">
        <x:v>Не обещать рост без модели.</x:v>
      </x:c>
    </x:row>
    <x:row r="3">
      <x:c r="A3" s="4" t="str">
        <x:v>Валовая маржа</x:v>
      </x:c>
      <x:c r="B3" s="4" t="str">
        <x:v>%</x:v>
      </x:c>
      <x:c r="C3" s="4" t="str"/>
      <x:c r="D3" s="4" t="str">
        <x:v>Показывает, выдерживает ли экономика проект.</x:v>
      </x:c>
      <x:c r="E3" s="4" t="str">
        <x:v>Если маржа низкая, нужен осторожный gate.</x:v>
      </x:c>
    </x:row>
    <x:row r="4">
      <x:c r="A4" s="4" t="str">
        <x:v>Промо-доля</x:v>
      </x:c>
      <x:c r="B4" s="4" t="str">
        <x:v>%</x:v>
      </x:c>
      <x:c r="C4" s="4" t="str"/>
      <x:c r="D4" s="4" t="str">
        <x:v>Показывает зависимость от разового стимулирования.</x:v>
      </x:c>
      <x:c r="E4" s="4" t="str">
        <x:v>Рост без снижения промо-доли не считается доказанным эффектом.</x:v>
      </x:c>
    </x:row>
    <x:row r="5">
      <x:c r="A5" s="4" t="str">
        <x:v>CAC, стоимость привлечения клиента</x:v>
      </x:c>
      <x:c r="B5" s="4" t="str">
        <x:v>руб.</x:v>
      </x:c>
      <x:c r="C5" s="4" t="str"/>
      <x:c r="D5" s="4" t="str">
        <x:v>Показывает цену покупки спроса заново.</x:v>
      </x:c>
      <x:c r="E5" s="4" t="str">
        <x:v>Не обещать снижение CAC без источников данных.</x:v>
      </x:c>
    </x:row>
    <x:row r="6">
      <x:c r="A6" s="4" t="str">
        <x:v>LTV, пожизненная ценность клиента</x:v>
      </x:c>
      <x:c r="B6" s="4" t="str">
        <x:v>руб.</x:v>
      </x:c>
      <x:c r="C6" s="4" t="str"/>
      <x:c r="D6" s="4" t="str">
        <x:v>Показывает потенциал повторяемого спроса.</x:v>
      </x:c>
      <x:c r="E6" s="4" t="str">
        <x:v>LTV считается только при понятной методике.</x:v>
      </x:c>
    </x:row>
    <x:row r="7">
      <x:c r="A7" s="4" t="str">
        <x:v>Частота повторной покупки</x:v>
      </x:c>
      <x:c r="B7" s="4" t="str">
        <x:v>раз / период</x:v>
      </x:c>
      <x:c r="C7" s="4" t="str"/>
      <x:c r="D7" s="4" t="str">
        <x:v>Показывает фактическую повторяемость.</x:v>
      </x:c>
      <x:c r="E7" s="4" t="str">
        <x:v>Если данных нет, фиксируется как гипотеза.</x:v>
      </x:c>
    </x:row>
    <x:row r="8">
      <x:c r="A8" s="4" t="str">
        <x:v>ROMI, возврат на маркетинговые инвестиции</x:v>
      </x:c>
      <x:c r="B8" s="4" t="str">
        <x:v>%</x:v>
      </x:c>
      <x:c r="C8" s="4" t="str"/>
      <x:c r="D8" s="4" t="str">
        <x:v>Проверяет эффективность текущих инвестиций.</x:v>
      </x:c>
      <x:c r="E8" s="4" t="str">
        <x:v>Не использовать как главный показатель без качества данных.</x:v>
      </x:c>
    </x:row>
  </x:sheetData>
  <x:pageMargins left="0.7" right="0.7" top="0.75" bottom="0.75" header="0.3" footer="0.3"/>
  <x:tableParts count="1">
    <x:tablePart xmlns:r="http://schemas.openxmlformats.org/officeDocument/2006/relationships" r:id="R0d6636ca295741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  <x:col min="3" max="3" width="38" hidden="0" customWidth="1"/>
  </x:cols>
  <x:sheetData>
    <x:row r="1" ht="32" customHeight="1">
      <x:c r="A1" s="8" t="str">
        <x:v>Тема</x:v>
      </x:c>
      <x:c r="B1" s="8" t="str">
        <x:v>Правило</x:v>
      </x:c>
      <x:c r="C1" s="8" t="str">
        <x:v>Где применяется</x:v>
      </x:c>
    </x:row>
    <x:row r="2">
      <x:c r="A2" s="4" t="str">
        <x:v>Название технологии</x:v>
      </x:c>
      <x:c r="B2" s="4" t="str">
        <x:v>В клиентском слое всегда писать 'Повторяемый спрос'.</x:v>
      </x:c>
      <x:c r="C2" s="4" t="str">
        <x:v>клиентский / коммерческий / внутренний</x:v>
      </x:c>
    </x:row>
    <x:row r="3">
      <x:c r="A3" s="4" t="str">
        <x:v>Историческое название из первоисточников</x:v>
      </x:c>
      <x:c r="B3" s="4" t="str">
        <x:v>Не использовать в клиентском слое. Допустимо только как связь с первоисточником во внутреннем контексте.</x:v>
      </x:c>
      <x:c r="C3" s="4" t="str">
        <x:v>первоисточники / внутренний</x:v>
      </x:c>
    </x:row>
    <x:row r="4">
      <x:c r="A4" s="4" t="str">
        <x:v>Английские термины</x:v>
      </x:c>
      <x:c r="B4" s="4" t="str">
        <x:v>Если термин устойчив, писать через запятую русский аналог: CAC, стоимость привлечения клиента; LTV, пожизненная ценность клиента.</x:v>
      </x:c>
      <x:c r="C4" s="4" t="str">
        <x:v>все слои</x:v>
      </x:c>
    </x:row>
    <x:row r="5">
      <x:c r="A5" s="4" t="str">
        <x:v>SMM / community</x:v>
      </x:c>
      <x:c r="B5" s="4" t="str">
        <x:v>Не продавать как суть технологии. Можно упоминать только как то, чем технология не является.</x:v>
      </x:c>
      <x:c r="C5" s="4" t="str">
        <x:v>коммерческий / клиентский</x:v>
      </x:c>
    </x:row>
    <x:row r="6">
      <x:c r="A6" s="4" t="str">
        <x:v>Финансовые обещания</x:v>
      </x:c>
      <x:c r="B6" s="4" t="str">
        <x:v>Не обещать рост и маржу. Формулировать проверяемые гипотезы и условия расчета.</x:v>
      </x:c>
      <x:c r="C6" s="4" t="str">
        <x:v>все внешние слои</x:v>
      </x:c>
    </x:row>
  </x:sheetData>
  <x:pageMargins left="0.7" right="0.7" top="0.75" bottom="0.75" header="0.3" footer="0.3"/>
  <x:tableParts count="1">
    <x:tablePart xmlns:r="http://schemas.openxmlformats.org/officeDocument/2006/relationships" r:id="R6ee07c0720794b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50" hidden="0" customWidth="1"/>
  </x:cols>
  <x:sheetData>
    <x:row r="1" ht="32" customHeight="1">
      <x:c r="A1" s="8" t="str">
        <x:v>Артефакт</x:v>
      </x:c>
      <x:c r="B1" s="8" t="str">
        <x:v>Файл</x:v>
      </x:c>
      <x:c r="C1" s="8" t="str">
        <x:v>Роль</x:v>
      </x:c>
    </x:row>
    <x:row r="2">
      <x:c r="A2" s="4" t="str">
        <x:v>Итоговый отчет</x:v>
      </x:c>
      <x:c r="B2" s="4" t="str">
        <x:v>Повторяемый_Спрос_Диагностика_Итоговый_Отчет_Шаблон_v2.docx</x:v>
      </x:c>
      <x:c r="C2" s="4" t="str">
        <x:v>клиентский результат Диагностики</x:v>
      </x:c>
    </x:row>
    <x:row r="3">
      <x:c r="A3" s="4" t="str">
        <x:v>Gate-протокол</x:v>
      </x:c>
      <x:c r="B3" s="4" t="str">
        <x:v>Повторяемый_Спрос_Диагностика_Gate_Протокол_v2.docx</x:v>
      </x:c>
      <x:c r="C3" s="4" t="str">
        <x:v>внутренний контроль решения</x:v>
      </x:c>
    </x:row>
    <x:row r="4">
      <x:c r="A4" s="4" t="str">
        <x:v>Evidence map</x:v>
      </x:c>
      <x:c r="B4" s="4" t="str">
        <x:v>Повторяемый_Спрос_Диагностика_Evidence_Map_v2.xlsx</x:v>
      </x:c>
      <x:c r="C4" s="4" t="str">
        <x:v>доказательная база отчета</x:v>
      </x:c>
    </x:row>
    <x:row r="5">
      <x:c r="A5" s="4" t="str">
        <x:v>Модель оценки</x:v>
      </x:c>
      <x:c r="B5" s="4" t="str">
        <x:v>Повторяемый_Спрос_Диагностика_Модель_Оценки_v2.xlsx</x:v>
      </x:c>
      <x:c r="C5" s="4" t="str">
        <x:v>балльная оценка применимости</x:v>
      </x:c>
    </x:row>
  </x:sheetData>
  <x:pageMargins left="0.7" right="0.7" top="0.75" bottom="0.75" header="0.3" footer="0.3"/>
  <x:tableParts count="1">
    <x:tablePart xmlns:r="http://schemas.openxmlformats.org/officeDocument/2006/relationships" r:id="Rcd87039dfd374d61"/>
  </x:tableParts>
</x:worksheet>
</file>