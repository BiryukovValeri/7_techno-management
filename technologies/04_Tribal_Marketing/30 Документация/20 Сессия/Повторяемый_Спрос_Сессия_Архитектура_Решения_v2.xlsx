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54bb2223c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тог" sheetId="1" r:id="R9f20942275714ade"/>
    <x:sheet xmlns:r="http://schemas.openxmlformats.org/officeDocument/2006/relationships" name="01_Варианты" sheetId="2" r:id="Rec5f78f9777d4c3d"/>
    <x:sheet xmlns:r="http://schemas.openxmlformats.org/officeDocument/2006/relationships" name="02_Цепочка" sheetId="3" r:id="R5d70aa37c9434336"/>
    <x:sheet xmlns:r="http://schemas.openxmlformats.org/officeDocument/2006/relationships" name="03_Gate" sheetId="4" r:id="R91c70b8819224e85"/>
    <x:sheet xmlns:r="http://schemas.openxmlformats.org/officeDocument/2006/relationships" name="04_Финансы" sheetId="5" r:id="R5f8b9561475140d9"/>
    <x:sheet xmlns:r="http://schemas.openxmlformats.org/officeDocument/2006/relationships" name="05_Выходы" sheetId="6" r:id="Rb0ceb9f107ab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9"/>
      <x:color rgb="FF11182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AF7F1"/>
      </x:patternFill>
    </x:fill>
    <x:fill>
      <x:patternFill patternType="solid">
        <x:fgColor rgb="FFF3EBDD"/>
      </x:patternFill>
    </x:fill>
  </x:fills>
  <x:borders count="2">
    <x:border/>
    <x:border>
      <x:left style="thin">
        <x:color rgb="FFD8CFC3"/>
      </x:left>
      <x:right style="thin">
        <x:color rgb="FFD8CFC3"/>
      </x:right>
      <x:top style="thin">
        <x:color rgb="FFD8CFC3"/>
      </x:top>
      <x:bottom style="thin">
        <x:color rgb="FFD8CFC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c170fb294494f" /><Relationship Type="http://schemas.openxmlformats.org/officeDocument/2006/relationships/theme" Target="/xl/theme/theme1.xml" Id="Rdf6b6874ce7f40a3" /><Relationship Type="http://schemas.openxmlformats.org/officeDocument/2006/relationships/sharedStrings" Target="/xl/sharedStrings.xml" Id="Rd9a6c84fd7664087" /><Relationship Type="http://schemas.openxmlformats.org/officeDocument/2006/relationships/worksheet" Target="/xl/worksheets/sheet1.xml" Id="R9f20942275714ade" /><Relationship Type="http://schemas.openxmlformats.org/officeDocument/2006/relationships/worksheet" Target="/xl/worksheets/sheet2.xml" Id="Rec5f78f9777d4c3d" /><Relationship Type="http://schemas.openxmlformats.org/officeDocument/2006/relationships/worksheet" Target="/xl/worksheets/sheet3.xml" Id="R5d70aa37c9434336" /><Relationship Type="http://schemas.openxmlformats.org/officeDocument/2006/relationships/worksheet" Target="/xl/worksheets/sheet4.xml" Id="R91c70b8819224e85" /><Relationship Type="http://schemas.openxmlformats.org/officeDocument/2006/relationships/worksheet" Target="/xl/worksheets/sheet5.xml" Id="R5f8b9561475140d9" /><Relationship Type="http://schemas.openxmlformats.org/officeDocument/2006/relationships/worksheet" Target="/xl/worksheets/sheet6.xml" Id="Rb0ceb9f107ab457e" /></Relationships>
</file>

<file path=xl/tables/table1.xml><?xml version="1.0" encoding="utf-8"?>
<x:table xmlns:x="http://schemas.openxmlformats.org/spreadsheetml/2006/main" id="1" name="SessionSummaryTable" displayName="SessionSummaryTable" ref="A1:B9" headerRowCount="1" totalsRowCount="0" totalsRowShown="0">
  <x:autoFilter ref="A1:B9"/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VariantsTable" displayName="ArchitectureVariantsTable" ref="A1:L6" headerRowCount="1" totalsRowCount="0" totalsRowShown="0">
  <x:autoFilter ref="A1:L6"/>
  <x:tableColumns count="12">
    <x:tableColumn id="1" name="ID"/>
    <x:tableColumn id="2" name="Вариант ядра"/>
    <x:tableColumn id="3" name="Мотив"/>
    <x:tableColumn id="4" name="Сцена / ритуал"/>
    <x:tableColumn id="5" name="Сигнал возврата"/>
    <x:tableColumn id="6" name="Финансовая гипотеза"/>
    <x:tableColumn id="7" name="Сила мотива 0-5"/>
    <x:tableColumn id="8" name="Внедряемость 0-5"/>
    <x:tableColumn id="9" name="Экономика 0-5"/>
    <x:tableColumn id="10" name="Риск"/>
    <x:tableColumn id="11" name="Балл"/>
    <x:tableColumn id="12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ssionChainTable" displayName="SessionChainTable" ref="A1:E7" headerRowCount="1" totalsRowCount="0" totalsRowShown="0">
  <x:autoFilter ref="A1:E7"/>
  <x:tableColumns count="5">
    <x:tableColumn id="1" name="Звено"/>
    <x:tableColumn id="2" name="Решение Сессии"/>
    <x:tableColumn id="3" name="Критерий"/>
    <x:tableColumn id="4" name="Доказательство / ссылка"/>
    <x:tableColumn id="5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ssionGateTable" displayName="SessionGateTable" ref="A1:D7" headerRowCount="1" totalsRowCount="0" totalsRowShown="0">
  <x:autoFilter ref="A1:D7"/>
  <x:tableColumns count="4">
    <x:tableColumn id="1" name="Gate"/>
    <x:tableColumn id="2" name="Условие"/>
    <x:tableColumn id="3" name="Факт / комментарий"/>
    <x:tableColumn id="4" name="Реше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ssionFinanceTable" displayName="SessionFinanceTable" ref="A1:E6" headerRowCount="1" totalsRowCount="0" totalsRowShown="0">
  <x:autoFilter ref="A1:E6"/>
  <x:tableColumns count="5">
    <x:tableColumn id="1" name="Метрика"/>
    <x:tableColumn id="2" name="Единица"/>
    <x:tableColumn id="3" name="Текущее значение"/>
    <x:tableColumn id="4" name="Зачем нужна"/>
    <x:tableColumn id="5" name="Огранич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ssionOutputsTable" displayName="SessionOutputsTable" ref="A1:C5" headerRowCount="1" totalsRowCount="0" totalsRowShown="0">
  <x:autoFilter ref="A1:C5"/>
  <x:tableColumns count="3">
    <x:tableColumn id="1" name="Артефакт"/>
    <x:tableColumn id="2" name="Файл"/>
    <x:tableColumn id="3" name="Рол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e18a7ec9945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5f7d2bd57b42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2cebba2c3a44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1460e82fd94d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30192ac62c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fff5b7d8f149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34" customHeight="1">
      <x:c r="A1" s="8" t="str">
        <x:v>Параметр</x:v>
      </x:c>
      <x:c r="B1" s="8" t="str">
        <x:v>Значение</x:v>
      </x:c>
    </x:row>
    <x:row r="2">
      <x:c r="A2" s="9" t="str">
        <x:v>Технология</x:v>
      </x:c>
      <x:c r="B2" s="9" t="str">
        <x:v>Повторяемый спрос</x:v>
      </x:c>
    </x:row>
    <x:row r="3">
      <x:c r="A3" s="9" t="str">
        <x:v>Этап</x:v>
      </x:c>
      <x:c r="B3" s="9" t="str">
        <x:v>Сессия выбора архитектуры</x:v>
      </x:c>
    </x:row>
    <x:row r="4">
      <x:c r="A4" s="9" t="str">
        <x:v>Назначение файла</x:v>
      </x:c>
      <x:c r="B4" s="9" t="str">
        <x:v>Сравнить варианты ядра и выбрать архитектуру для передачи в Спринт.</x:v>
      </x:c>
    </x:row>
    <x:row r="5">
      <x:c r="A5" s="9" t="str">
        <x:v>Формула ядра</x:v>
      </x:c>
      <x:c r="B5" s="9" t="str">
        <x:v>мотив -&gt; сцена -&gt; ритуал -&gt; сигнал -&gt; повторяемость -&gt; финансовый эффект</x:v>
      </x:c>
    </x:row>
    <x:row r="6">
      <x:c r="A6" s="10" t="str">
        <x:v>Лучший вариант</x:v>
      </x:c>
      <x:c r="B6" s="10" t="str">
        <x:f>IF(MAX('01_Варианты'!K2:K6)=0,"не выбран",INDEX('01_Варианты'!B2:B6,MATCH(MAX('01_Варианты'!K2:K6),'01_Варианты'!K2:K6,0)))</x:f>
        <x:v>не выбран</x:v>
      </x:c>
    </x:row>
    <x:row r="7">
      <x:c r="A7" s="10" t="str">
        <x:v>Максимальный балл</x:v>
      </x:c>
      <x:c r="B7" s="11" t="n">
        <x:f>MAX('01_Варианты'!K2:K6)</x:f>
        <x:v>0</x:v>
      </x:c>
    </x:row>
    <x:row r="8">
      <x:c r="A8" s="10" t="str">
        <x:v>Критические риски</x:v>
      </x:c>
      <x:c r="B8" s="11" t="n">
        <x:f>COUNTIF('01_Варианты'!J2:J6,"критический")</x:f>
        <x:v>0</x:v>
      </x:c>
    </x:row>
    <x:row r="9">
      <x:c r="A9" s="10" t="str">
        <x:v>Рекомендация</x:v>
      </x:c>
      <x:c r="B9" s="10" t="str">
        <x:f>IF(B7=0,"заполнить оценки",IF(B8&gt;0,"No Sprint, не запускать",IF(B7&gt;=75,"Go to Sprint, переходить в Спринт",IF(B7&gt;=55,"Conditional Sprint, переходить при условиях","No Sprint, не запускать"))))</x:f>
        <x:v>заполнить оценки</x:v>
      </x:c>
    </x:row>
  </x:sheetData>
  <x:pageMargins left="0.7" right="0.7" top="0.75" bottom="0.75" header="0.3" footer="0.3"/>
  <x:tableParts count="1">
    <x:tablePart xmlns:r="http://schemas.openxmlformats.org/officeDocument/2006/relationships" r:id="R4e0e18a7ec9945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34" hidden="0" customWidth="1"/>
    <x:col min="5" max="5" width="34" hidden="0" customWidth="1"/>
    <x:col min="6" max="6" width="38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1" max="11" width="12" hidden="0" customWidth="1"/>
    <x:col min="12" max="12" width="40" hidden="0" customWidth="1"/>
  </x:cols>
  <x:sheetData>
    <x:row r="1" ht="34" customHeight="1">
      <x:c r="A1" s="8" t="str">
        <x:v>ID</x:v>
      </x:c>
      <x:c r="B1" s="8" t="str">
        <x:v>Вариант ядра</x:v>
      </x:c>
      <x:c r="C1" s="8" t="str">
        <x:v>Мотив</x:v>
      </x:c>
      <x:c r="D1" s="8" t="str">
        <x:v>Сцена / ритуал</x:v>
      </x:c>
      <x:c r="E1" s="8" t="str">
        <x:v>Сигнал возврата</x:v>
      </x:c>
      <x:c r="F1" s="8" t="str">
        <x:v>Финансовая гипотеза</x:v>
      </x:c>
      <x:c r="G1" s="8" t="str">
        <x:v>Сила мотива 0-5</x:v>
      </x:c>
      <x:c r="H1" s="8" t="str">
        <x:v>Внедряемость 0-5</x:v>
      </x:c>
      <x:c r="I1" s="8" t="str">
        <x:v>Экономика 0-5</x:v>
      </x:c>
      <x:c r="J1" s="8" t="str">
        <x:v>Риск</x:v>
      </x:c>
      <x:c r="K1" s="8" t="str">
        <x:v>Балл</x:v>
      </x:c>
      <x:c r="L1" s="8" t="str">
        <x:v>Комментарий</x:v>
      </x:c>
    </x:row>
    <x:row r="2">
      <x:c r="A2" s="4" t="str">
        <x:v>A</x:v>
      </x:c>
      <x:c r="B2" s="4" t="str">
        <x:v>Ядро заботы</x:v>
      </x:c>
      <x:c r="C2" s="4" t="str">
        <x:v>снижение тревоги в регулярной бытовой сцене</x:v>
      </x:c>
      <x:c r="D2" s="4" t="str">
        <x:v>ежедневное использование</x:v>
      </x:c>
      <x:c r="E2" s="4" t="str">
        <x:v>упаковка / напоминание / привычка</x:v>
      </x:c>
      <x:c r="F2" s="4" t="str">
        <x:v>частота, LTV, пожизненная ценность клиента</x:v>
      </x:c>
      <x:c r="G2" s="4" t="n">
        <x:v>0</x:v>
      </x:c>
      <x:c r="H2" s="4" t="n">
        <x:v>0</x:v>
      </x:c>
      <x:c r="I2" s="4" t="n">
        <x:v>0</x:v>
      </x:c>
      <x:c r="J2" s="4" t="str">
        <x:v>нет</x:v>
      </x:c>
      <x:c r="K2" s="12" t="n">
        <x:f>ROUND(SUM(G2:I2)/15*100,0)</x:f>
        <x:v>0</x:v>
      </x:c>
      <x:c r="L2" s="4" t="str"/>
    </x:row>
    <x:row r="3">
      <x:c r="A3" s="4" t="str">
        <x:v>B</x:v>
      </x:c>
      <x:c r="B3" s="4" t="str">
        <x:v>Ядро контроля</x:v>
      </x:c>
      <x:c r="C3" s="4" t="str">
        <x:v>уверенность, порядок, предсказуемый результат</x:v>
      </x:c>
      <x:c r="D3" s="4" t="str">
        <x:v>плановое использование</x:v>
      </x:c>
      <x:c r="E3" s="4" t="str">
        <x:v>визуальный стандарт / чек-лист</x:v>
      </x:c>
      <x:c r="F3" s="4" t="str">
        <x:v>повторная покупка, промо-доля</x:v>
      </x:c>
      <x:c r="G3" s="4" t="n">
        <x:v>0</x:v>
      </x:c>
      <x:c r="H3" s="4" t="n">
        <x:v>0</x:v>
      </x:c>
      <x:c r="I3" s="4" t="n">
        <x:v>0</x:v>
      </x:c>
      <x:c r="J3" s="4" t="str">
        <x:v>нет</x:v>
      </x:c>
      <x:c r="K3" s="12" t="n">
        <x:f>ROUND(SUM(G3:I3)/15*100,0)</x:f>
        <x:v>0</x:v>
      </x:c>
      <x:c r="L3" s="4" t="str"/>
    </x:row>
    <x:row r="4">
      <x:c r="A4" s="4" t="str">
        <x:v>C</x:v>
      </x:c>
      <x:c r="B4" s="4" t="str">
        <x:v>Ядро статуса</x:v>
      </x:c>
      <x:c r="C4" s="4" t="str">
        <x:v>самооценка, принадлежность, демонстрация выбора</x:v>
      </x:c>
      <x:c r="D4" s="4" t="str">
        <x:v>социальная сцена</x:v>
      </x:c>
      <x:c r="E4" s="4" t="str">
        <x:v>визуальный маркер / рекомендация</x:v>
      </x:c>
      <x:c r="F4" s="4" t="str">
        <x:v>маржа, средний чек</x:v>
      </x:c>
      <x:c r="G4" s="4" t="n">
        <x:v>0</x:v>
      </x:c>
      <x:c r="H4" s="4" t="n">
        <x:v>0</x:v>
      </x:c>
      <x:c r="I4" s="4" t="n">
        <x:v>0</x:v>
      </x:c>
      <x:c r="J4" s="4" t="str">
        <x:v>нет</x:v>
      </x:c>
      <x:c r="K4" s="12" t="n">
        <x:f>ROUND(SUM(G4:I4)/15*100,0)</x:f>
        <x:v>0</x:v>
      </x:c>
      <x:c r="L4" s="4" t="str"/>
    </x:row>
    <x:row r="5">
      <x:c r="A5" s="4" t="str">
        <x:v>D</x:v>
      </x:c>
      <x:c r="B5" s="4" t="str">
        <x:v>Ядро удобства</x:v>
      </x:c>
      <x:c r="C5" s="4" t="str">
        <x:v>экономия времени, снижение усилий</x:v>
      </x:c>
      <x:c r="D5" s="4" t="str">
        <x:v>регулярная задача</x:v>
      </x:c>
      <x:c r="E5" s="4" t="str">
        <x:v>канал / подписка / быстрый повтор</x:v>
      </x:c>
      <x:c r="F5" s="4" t="str">
        <x:v>частота, CAC, стоимость привлечения клиента</x:v>
      </x:c>
      <x:c r="G5" s="4" t="n">
        <x:v>0</x:v>
      </x:c>
      <x:c r="H5" s="4" t="n">
        <x:v>0</x:v>
      </x:c>
      <x:c r="I5" s="4" t="n">
        <x:v>0</x:v>
      </x:c>
      <x:c r="J5" s="4" t="str">
        <x:v>нет</x:v>
      </x:c>
      <x:c r="K5" s="12" t="n">
        <x:f>ROUND(SUM(G5:I5)/15*100,0)</x:f>
        <x:v>0</x:v>
      </x:c>
      <x:c r="L5" s="4" t="str"/>
    </x:row>
    <x:row r="6">
      <x:c r="A6" s="4" t="str">
        <x:v>E</x:v>
      </x:c>
      <x:c r="B6" s="4" t="str">
        <x:v>Собственный вариант клиента</x:v>
      </x:c>
      <x:c r="C6" s="4" t="str">
        <x:v>[заполнить]</x:v>
      </x:c>
      <x:c r="D6" s="4" t="str">
        <x:v>[заполнить]</x:v>
      </x:c>
      <x:c r="E6" s="4" t="str">
        <x:v>[заполнить]</x:v>
      </x:c>
      <x:c r="F6" s="4" t="str">
        <x:v>[заполнить]</x:v>
      </x:c>
      <x:c r="G6" s="4" t="n">
        <x:v>0</x:v>
      </x:c>
      <x:c r="H6" s="4" t="n">
        <x:v>0</x:v>
      </x:c>
      <x:c r="I6" s="4" t="n">
        <x:v>0</x:v>
      </x:c>
      <x:c r="J6" s="4" t="str">
        <x:v>нет</x:v>
      </x:c>
      <x:c r="K6" s="12" t="n">
        <x:f>ROUND(SUM(G6:I6)/15*100,0)</x:f>
        <x:v>0</x:v>
      </x:c>
      <x:c r="L6" s="4" t="str"/>
    </x:row>
  </x:sheetData>
  <x:conditionalFormatting sqref="J2:J6">
    <x:cfRule type="containsText" dxfId="0" priority="1" operator="containsText" text="критический"/>
  </x:conditionalFormatting>
  <x:conditionalFormatting sqref="K2:K6">
    <x:cfRule type="cellIs" dxfId="1" priority="2" operator="greaterThanOrEqual">
      <x:formula>75</x:formula>
    </x:cfRule>
  </x:conditionalFormatting>
  <x:dataValidations count="2">
    <x:dataValidation type="whole" operator="between" sqref="G2:I6">
      <x:formula1>0</x:formula1>
      <x:formula2>5</x:formula2>
    </x:dataValidation>
    <x:dataValidation type="list" sqref="J2:J6">
      <x:formula1>"нет,низкий,средний,критический"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5f7d2bd57b42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62" hidden="0" customWidth="1"/>
    <x:col min="4" max="4" width="38" hidden="0" customWidth="1"/>
    <x:col min="5" max="5" width="22" hidden="0" customWidth="1"/>
  </x:cols>
  <x:sheetData>
    <x:row r="1" ht="34" customHeight="1">
      <x:c r="A1" s="8" t="str">
        <x:v>Звено</x:v>
      </x:c>
      <x:c r="B1" s="8" t="str">
        <x:v>Решение Сессии</x:v>
      </x:c>
      <x:c r="C1" s="8" t="str">
        <x:v>Критерий</x:v>
      </x:c>
      <x:c r="D1" s="8" t="str">
        <x:v>Доказательство / ссылка</x:v>
      </x:c>
      <x:c r="E1" s="8" t="str">
        <x:v>Статус</x:v>
      </x:c>
    </x:row>
    <x:row r="2">
      <x:c r="A2" s="4" t="str">
        <x:v>Мотив</x:v>
      </x:c>
      <x:c r="B2" s="4" t="str">
        <x:v>[выбранный мотив-ядро]</x:v>
      </x:c>
      <x:c r="C2" s="4" t="str">
        <x:v>Должен быть один главный мотив, подтвержденный Диагностикой.</x:v>
      </x:c>
      <x:c r="D2" s="4" t="str"/>
      <x:c r="E2" s="4" t="str">
        <x:v>готов / условно / нет</x:v>
      </x:c>
    </x:row>
    <x:row r="3">
      <x:c r="A3" s="4" t="str">
        <x:v>Сцена</x:v>
      </x:c>
      <x:c r="B3" s="4" t="str">
        <x:v>[главная сцена]</x:v>
      </x:c>
      <x:c r="C3" s="4" t="str">
        <x:v>Сцена должна быть регулярной и управляемой.</x:v>
      </x:c>
      <x:c r="D3" s="4" t="str"/>
      <x:c r="E3" s="4" t="str">
        <x:v>готов / условно / нет</x:v>
      </x:c>
    </x:row>
    <x:row r="4">
      <x:c r="A4" s="4" t="str">
        <x:v>Ритуал</x:v>
      </x:c>
      <x:c r="B4" s="4" t="str">
        <x:v>[повторяемое действие]</x:v>
      </x:c>
      <x:c r="C4" s="4" t="str">
        <x:v>Ритуал должен быть связан с продуктом и поведением, а не только с коммуникацией.</x:v>
      </x:c>
      <x:c r="D4" s="4" t="str"/>
      <x:c r="E4" s="4" t="str">
        <x:v>готов / условно / нет</x:v>
      </x:c>
    </x:row>
    <x:row r="5">
      <x:c r="A5" s="4" t="str">
        <x:v>Сигнал</x:v>
      </x:c>
      <x:c r="B5" s="4" t="str">
        <x:v>[сигнал возврата]</x:v>
      </x:c>
      <x:c r="C5" s="4" t="str">
        <x:v>Сигнал возвращает к повторению без постоянной скидки.</x:v>
      </x:c>
      <x:c r="D5" s="4" t="str"/>
      <x:c r="E5" s="4" t="str">
        <x:v>готов / условно / нет</x:v>
      </x:c>
    </x:row>
    <x:row r="6">
      <x:c r="A6" s="4" t="str">
        <x:v>Повторяемость</x:v>
      </x:c>
      <x:c r="B6" s="4" t="str">
        <x:v>[как измеряется]</x:v>
      </x:c>
      <x:c r="C6" s="4" t="str">
        <x:v>Повторяемость должна отличаться от разового промо-всплеска.</x:v>
      </x:c>
      <x:c r="D6" s="4" t="str"/>
      <x:c r="E6" s="4" t="str">
        <x:v>готов / условно / нет</x:v>
      </x:c>
    </x:row>
    <x:row r="7">
      <x:c r="A7" s="4" t="str">
        <x:v>Финансовый эффект</x:v>
      </x:c>
      <x:c r="B7" s="4" t="str">
        <x:v>[какая экономика проверяется]</x:v>
      </x:c>
      <x:c r="C7" s="4" t="str">
        <x:v>Эффект формулируется как проверяемая гипотеза.</x:v>
      </x:c>
      <x:c r="D7" s="4" t="str"/>
      <x:c r="E7" s="4" t="str">
        <x:v>готов / условно / нет</x:v>
      </x:c>
    </x:row>
  </x:sheetData>
  <x:conditionalFormatting sqref="E2:E7">
    <x:cfRule type="containsText" dxfId="2" priority="1" operator="containsText" text="нет"/>
    <x:cfRule type="containsText" dxfId="3" priority="2" operator="containsText" text="готов"/>
  </x:conditionalFormatting>
  <x:dataValidations count="1">
    <x:dataValidation type="list" sqref="E2:E7">
      <x:formula1>"готов,условно,нет"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2cebba2c3a44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54" hidden="0" customWidth="1"/>
    <x:col min="4" max="4" width="28" hidden="0" customWidth="1"/>
  </x:cols>
  <x:sheetData>
    <x:row r="1" ht="34" customHeight="1">
      <x:c r="A1" s="8" t="str">
        <x:v>Gate</x:v>
      </x:c>
      <x:c r="B1" s="8" t="str">
        <x:v>Условие</x:v>
      </x:c>
      <x:c r="C1" s="8" t="str">
        <x:v>Факт / комментарий</x:v>
      </x:c>
      <x:c r="D1" s="8" t="str">
        <x:v>Решение</x:v>
      </x:c>
    </x:row>
    <x:row r="2">
      <x:c r="A2" s="4" t="str">
        <x:v>S0. Диагностика</x:v>
      </x:c>
      <x:c r="B2" s="4" t="str">
        <x:v>Есть итоговый отчет Диагностики и закрытый gate.</x:v>
      </x:c>
      <x:c r="C2" s="4" t="str"/>
      <x:c r="D2" s="4" t="str">
        <x:v>Go / Conditional / No</x:v>
      </x:c>
    </x:row>
    <x:row r="3">
      <x:c r="A3" s="4" t="str">
        <x:v>S1. Ядро</x:v>
      </x:c>
      <x:c r="B3" s="4" t="str">
        <x:v>Выбран один мотив-ядро и список запрещенных мотивов.</x:v>
      </x:c>
      <x:c r="C3" s="4" t="str"/>
      <x:c r="D3" s="4" t="str">
        <x:v>Go / Conditional / No</x:v>
      </x:c>
    </x:row>
    <x:row r="4">
      <x:c r="A4" s="4" t="str">
        <x:v>S2. Архитектура</x:v>
      </x:c>
      <x:c r="B4" s="4" t="str">
        <x:v>Собрана связанная цепочка мотив -&gt; сцена -&gt; ритуал -&gt; сигнал.</x:v>
      </x:c>
      <x:c r="C4" s="4" t="str"/>
      <x:c r="D4" s="4" t="str">
        <x:v>Go / Conditional / No</x:v>
      </x:c>
    </x:row>
    <x:row r="5">
      <x:c r="A5" s="4" t="str">
        <x:v>S3. Экономика</x:v>
      </x:c>
      <x:c r="B5" s="4" t="str">
        <x:v>Есть проверяемые финансовые гипотезы.</x:v>
      </x:c>
      <x:c r="C5" s="4" t="str"/>
      <x:c r="D5" s="4" t="str">
        <x:v>Go / Conditional / No</x:v>
      </x:c>
    </x:row>
    <x:row r="6">
      <x:c r="A6" s="4" t="str">
        <x:v>S4. Владельцы</x:v>
      </x:c>
      <x:c r="B6" s="4" t="str">
        <x:v>Назначены владельцы внедрения и решений.</x:v>
      </x:c>
      <x:c r="C6" s="4" t="str"/>
      <x:c r="D6" s="4" t="str">
        <x:v>Go / Conditional / No</x:v>
      </x:c>
    </x:row>
    <x:row r="7">
      <x:c r="A7" s="4" t="str">
        <x:v>S5. Границы</x:v>
      </x:c>
      <x:c r="B7" s="4" t="str">
        <x:v>Зафиксированы запреты и стоп-линии.</x:v>
      </x:c>
      <x:c r="C7" s="4" t="str"/>
      <x:c r="D7" s="4" t="str">
        <x:v>Go / Conditional / No</x:v>
      </x:c>
    </x:row>
  </x:sheetData>
  <x:dataValidations count="1">
    <x:dataValidation type="list" sqref="D2:D7">
      <x:formula1>"Go,Conditional,No"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1460e82fd94d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54" hidden="0" customWidth="1"/>
    <x:col min="5" max="5" width="58" hidden="0" customWidth="1"/>
  </x:cols>
  <x:sheetData>
    <x:row r="1" ht="34" customHeight="1">
      <x:c r="A1" s="8" t="str">
        <x:v>Метрика</x:v>
      </x:c>
      <x:c r="B1" s="8" t="str">
        <x:v>Единица</x:v>
      </x:c>
      <x:c r="C1" s="8" t="str">
        <x:v>Текущее значение</x:v>
      </x:c>
      <x:c r="D1" s="8" t="str">
        <x:v>Зачем нужна</x:v>
      </x:c>
      <x:c r="E1" s="8" t="str">
        <x:v>Ограничение</x:v>
      </x:c>
    </x:row>
    <x:row r="2">
      <x:c r="A2" s="4" t="str">
        <x:v>Маржа</x:v>
      </x:c>
      <x:c r="B2" s="4" t="str">
        <x:v>%</x:v>
      </x:c>
      <x:c r="C2" s="4" t="str"/>
      <x:c r="D2" s="4" t="str">
        <x:v>Проверяет, выдерживает ли архитектура внедрение.</x:v>
      </x:c>
      <x:c r="E2" s="4" t="str">
        <x:v>Не обещать рост маржи без модели.</x:v>
      </x:c>
    </x:row>
    <x:row r="3">
      <x:c r="A3" s="4" t="str">
        <x:v>Промо-доля</x:v>
      </x:c>
      <x:c r="B3" s="4" t="str">
        <x:v>%</x:v>
      </x:c>
      <x:c r="C3" s="4" t="str"/>
      <x:c r="D3" s="4" t="str">
        <x:v>Показывает зависимость от разового спроса.</x:v>
      </x:c>
      <x:c r="E3" s="4" t="str">
        <x:v>Снижение промо-доли является гипотезой, не обещанием.</x:v>
      </x:c>
    </x:row>
    <x:row r="4">
      <x:c r="A4" s="4" t="str">
        <x:v>CAC, стоимость привлечения клиента</x:v>
      </x:c>
      <x:c r="B4" s="4" t="str">
        <x:v>руб.</x:v>
      </x:c>
      <x:c r="C4" s="4" t="str"/>
      <x:c r="D4" s="4" t="str">
        <x:v>Показывает цену покупки спроса заново.</x:v>
      </x:c>
      <x:c r="E4" s="4" t="str">
        <x:v>Не обещать снижение без источника данных.</x:v>
      </x:c>
    </x:row>
    <x:row r="5">
      <x:c r="A5" s="4" t="str">
        <x:v>LTV, пожизненная ценность клиента</x:v>
      </x:c>
      <x:c r="B5" s="4" t="str">
        <x:v>руб.</x:v>
      </x:c>
      <x:c r="C5" s="4" t="str"/>
      <x:c r="D5" s="4" t="str">
        <x:v>Показывает потенциал повторяемости.</x:v>
      </x:c>
      <x:c r="E5" s="4" t="str">
        <x:v>Считать только при понятной методике.</x:v>
      </x:c>
    </x:row>
    <x:row r="6">
      <x:c r="A6" s="4" t="str">
        <x:v>Частота покупки</x:v>
      </x:c>
      <x:c r="B6" s="4" t="str">
        <x:v>раз / период</x:v>
      </x:c>
      <x:c r="C6" s="4" t="str"/>
      <x:c r="D6" s="4" t="str">
        <x:v>Показывает фактическую повторяемость.</x:v>
      </x:c>
      <x:c r="E6" s="4" t="str">
        <x:v>Если данных нет, фиксировать как гипотезу.</x:v>
      </x:c>
    </x:row>
  </x:sheetData>
  <x:pageMargins left="0.7" right="0.7" top="0.75" bottom="0.75" header="0.3" footer="0.3"/>
  <x:tableParts count="1">
    <x:tablePart xmlns:r="http://schemas.openxmlformats.org/officeDocument/2006/relationships" r:id="Rdc30192ac62c46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50" hidden="0" customWidth="1"/>
  </x:cols>
  <x:sheetData>
    <x:row r="1" ht="34" customHeight="1">
      <x:c r="A1" s="8" t="str">
        <x:v>Артефакт</x:v>
      </x:c>
      <x:c r="B1" s="8" t="str">
        <x:v>Файл</x:v>
      </x:c>
      <x:c r="C1" s="8" t="str">
        <x:v>Роль</x:v>
      </x:c>
    </x:row>
    <x:row r="2">
      <x:c r="A2" s="4" t="str">
        <x:v>Итоговый протокол</x:v>
      </x:c>
      <x:c r="B2" s="4" t="str">
        <x:v>Повторяемый_Спрос_Сессия_Итоговый_Протокол_v2.docx</x:v>
      </x:c>
      <x:c r="C2" s="4" t="str">
        <x:v>клиентский результат Сессии</x:v>
      </x:c>
    </x:row>
    <x:row r="3">
      <x:c r="A3" s="4" t="str">
        <x:v>Gate-протокол</x:v>
      </x:c>
      <x:c r="B3" s="4" t="str">
        <x:v>Повторяемый_Спрос_Сессия_Gate_Протокол_v2.docx</x:v>
      </x:c>
      <x:c r="C3" s="4" t="str">
        <x:v>контроль перехода в Спринт</x:v>
      </x:c>
    </x:row>
    <x:row r="4">
      <x:c r="A4" s="4" t="str">
        <x:v>Архитектура решения</x:v>
      </x:c>
      <x:c r="B4" s="4" t="str">
        <x:v>Повторяемый_Спрос_Сессия_Архитектура_Решения_v2.xlsx</x:v>
      </x:c>
      <x:c r="C4" s="4" t="str">
        <x:v>рабочая модель выбора ядра</x:v>
      </x:c>
    </x:row>
    <x:row r="5">
      <x:c r="A5" s="4" t="str">
        <x:v>Следующий продукт</x:v>
      </x:c>
      <x:c r="B5" s="4" t="str">
        <x:v>Повторяемый_Спрос_Спринт_Паспорт_Продукта.docx</x:v>
      </x:c>
      <x:c r="C5" s="4" t="str">
        <x:v>продается только после gate</x:v>
      </x:c>
    </x:row>
  </x:sheetData>
  <x:pageMargins left="0.7" right="0.7" top="0.75" bottom="0.75" header="0.3" footer="0.3"/>
  <x:tableParts count="1">
    <x:tablePart xmlns:r="http://schemas.openxmlformats.org/officeDocument/2006/relationships" r:id="R06fff5b7d8f14972"/>
  </x:tableParts>
</x:worksheet>
</file>