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6fabc64c5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Итог" sheetId="1" r:id="R73e63f903b6b4bb6"/>
    <x:sheet xmlns:r="http://schemas.openxmlformats.org/officeDocument/2006/relationships" name="01_План_90" sheetId="2" r:id="R03c0b3294ee54d71"/>
    <x:sheet xmlns:r="http://schemas.openxmlformats.org/officeDocument/2006/relationships" name="02_Роли" sheetId="3" r:id="R1b5c30ea0e0944e5"/>
    <x:sheet xmlns:r="http://schemas.openxmlformats.org/officeDocument/2006/relationships" name="03_Метрики" sheetId="4" r:id="Rdc333ee122e84c31"/>
    <x:sheet xmlns:r="http://schemas.openxmlformats.org/officeDocument/2006/relationships" name="04_Gate" sheetId="5" r:id="R737096507a704730"/>
    <x:sheet xmlns:r="http://schemas.openxmlformats.org/officeDocument/2006/relationships" name="05_Выходы" sheetId="6" r:id="R6c4c28852b5140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3">
    <x:font>
      <x:sz val="11"/>
      <x:name val="Carlito"/>
    </x:font>
    <x:font>
      <x:sz val="9"/>
      <x:color rgb="FF111827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FAF7F1"/>
      </x:patternFill>
    </x:fill>
    <x:fill>
      <x:patternFill patternType="solid">
        <x:fgColor rgb="FFF3EBDD"/>
      </x:patternFill>
    </x:fill>
  </x:fills>
  <x:borders count="2">
    <x:border/>
    <x:border>
      <x:left style="thin">
        <x:color rgb="FFD8CFC3"/>
      </x:left>
      <x:right style="thin">
        <x:color rgb="FFD8CFC3"/>
      </x:right>
      <x:top style="thin">
        <x:color rgb="FFD8CFC3"/>
      </x:top>
      <x:bottom style="thin">
        <x:color rgb="FFD8CFC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200" fontId="1" fillId="4" borderId="1" xfId="0" applyNumberFormat="1" applyFont="1" applyFill="1" applyBorder="1" applyAlignment="1">
      <x:alignment vertical="top" wrapText="1"/>
    </x:xf>
    <x:xf numFmtId="201" fontId="1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034ed072f84585" /><Relationship Type="http://schemas.openxmlformats.org/officeDocument/2006/relationships/theme" Target="/xl/theme/theme1.xml" Id="R4db7cce23c864ff0" /><Relationship Type="http://schemas.openxmlformats.org/officeDocument/2006/relationships/sharedStrings" Target="/xl/sharedStrings.xml" Id="R982f9831f0bf4d54" /><Relationship Type="http://schemas.openxmlformats.org/officeDocument/2006/relationships/worksheet" Target="/xl/worksheets/sheet1.xml" Id="R73e63f903b6b4bb6" /><Relationship Type="http://schemas.openxmlformats.org/officeDocument/2006/relationships/worksheet" Target="/xl/worksheets/sheet2.xml" Id="R03c0b3294ee54d71" /><Relationship Type="http://schemas.openxmlformats.org/officeDocument/2006/relationships/worksheet" Target="/xl/worksheets/sheet3.xml" Id="R1b5c30ea0e0944e5" /><Relationship Type="http://schemas.openxmlformats.org/officeDocument/2006/relationships/worksheet" Target="/xl/worksheets/sheet4.xml" Id="Rdc333ee122e84c31" /><Relationship Type="http://schemas.openxmlformats.org/officeDocument/2006/relationships/worksheet" Target="/xl/worksheets/sheet5.xml" Id="R737096507a704730" /><Relationship Type="http://schemas.openxmlformats.org/officeDocument/2006/relationships/worksheet" Target="/xl/worksheets/sheet6.xml" Id="R6c4c28852b514030" /></Relationships>
</file>

<file path=xl/tables/table1.xml><?xml version="1.0" encoding="utf-8"?>
<x:table xmlns:x="http://schemas.openxmlformats.org/spreadsheetml/2006/main" id="1" name="SprintSummaryTable" displayName="SprintSummaryTable" ref="A1:B10" headerRowCount="1" totalsRowCount="0" totalsRowShown="0">
  <x:autoFilter ref="A1:B10"/>
  <x:tableColumns count="2">
    <x:tableColumn id="1" name="Параметр"/>
    <x:tableColumn id="2" name="Знач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rintPlanTable" displayName="SprintPlanTable" ref="A1:J21" headerRowCount="1" totalsRowCount="0" totalsRowShown="0">
  <x:autoFilter ref="A1:J21"/>
  <x:tableColumns count="10">
    <x:tableColumn id="1" name="ID"/>
    <x:tableColumn id="2" name="Период"/>
    <x:tableColumn id="3" name="Контур"/>
    <x:tableColumn id="4" name="Действие"/>
    <x:tableColumn id="5" name="Артефакт"/>
    <x:tableColumn id="6" name="Владелец"/>
    <x:tableColumn id="7" name="Срок"/>
    <x:tableColumn id="8" name="Статус"/>
    <x:tableColumn id="9" name="Риск"/>
    <x:tableColumn id="10" name="Комментари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rintRolesTable" displayName="SprintRolesTable" ref="A1:D7" headerRowCount="1" totalsRowCount="0" totalsRowShown="0">
  <x:autoFilter ref="A1:D7"/>
  <x:tableColumns count="4">
    <x:tableColumn id="1" name="Роль"/>
    <x:tableColumn id="2" name="Ответственность"/>
    <x:tableColumn id="3" name="Назначенный человек"/>
    <x:tableColumn id="4" name="Стату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printMetricsTable" displayName="SprintMetricsTable" ref="A1:E7" headerRowCount="1" totalsRowCount="0" totalsRowShown="0">
  <x:autoFilter ref="A1:E7"/>
  <x:tableColumns count="5">
    <x:tableColumn id="1" name="Метрика"/>
    <x:tableColumn id="2" name="Единица"/>
    <x:tableColumn id="3" name="Baseline"/>
    <x:tableColumn id="4" name="Зачем нужна"/>
    <x:tableColumn id="5" name="Ограничение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printGateTable" displayName="SprintGateTable" ref="A1:D7" headerRowCount="1" totalsRowCount="0" totalsRowShown="0">
  <x:autoFilter ref="A1:D7"/>
  <x:tableColumns count="4">
    <x:tableColumn id="1" name="Gate"/>
    <x:tableColumn id="2" name="Условие"/>
    <x:tableColumn id="3" name="Факт / комментарий"/>
    <x:tableColumn id="4" name="Решение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printOutputsTable" displayName="SprintOutputsTable" ref="A1:C5" headerRowCount="1" totalsRowCount="0" totalsRowShown="0">
  <x:autoFilter ref="A1:C5"/>
  <x:tableColumns count="3">
    <x:tableColumn id="1" name="Артефакт"/>
    <x:tableColumn id="2" name="Файл"/>
    <x:tableColumn id="3" name="Рол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0f6752721544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9cead1737c546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cf67375c39645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df3d47b5fb94f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5dc79231a734f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809e55a44c543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8" hidden="0" customWidth="1"/>
  </x:cols>
  <x:sheetData>
    <x:row r="1" ht="34" customHeight="1">
      <x:c r="A1" s="8" t="str">
        <x:v>Параметр</x:v>
      </x:c>
      <x:c r="B1" s="8" t="str">
        <x:v>Значение</x:v>
      </x:c>
    </x:row>
    <x:row r="2">
      <x:c r="A2" s="9" t="str">
        <x:v>Технология</x:v>
      </x:c>
      <x:c r="B2" s="9" t="str">
        <x:v>Повторяемый спрос</x:v>
      </x:c>
    </x:row>
    <x:row r="3">
      <x:c r="A3" s="9" t="str">
        <x:v>Этап</x:v>
      </x:c>
      <x:c r="B3" s="9" t="str">
        <x:v>Спринт внедрения</x:v>
      </x:c>
    </x:row>
    <x:row r="4">
      <x:c r="A4" s="9" t="str">
        <x:v>Назначение файла</x:v>
      </x:c>
      <x:c r="B4" s="9" t="str">
        <x:v>90-дневный план перевода выбранной архитектуры в операционную систему клиента.</x:v>
      </x:c>
    </x:row>
    <x:row r="5">
      <x:c r="A5" s="9" t="str">
        <x:v>Формула ядра</x:v>
      </x:c>
      <x:c r="B5" s="9" t="str">
        <x:v>мотив -&gt; сцена -&gt; ритуал -&gt; сигнал -&gt; повторяемость -&gt; финансовый эффект</x:v>
      </x:c>
    </x:row>
    <x:row r="6">
      <x:c r="A6" s="10" t="str">
        <x:v>Всего задач</x:v>
      </x:c>
      <x:c r="B6" s="11" t="n">
        <x:f>COUNTA('01_План_90'!A2:A31)</x:f>
        <x:v>20</x:v>
      </x:c>
    </x:row>
    <x:row r="7">
      <x:c r="A7" s="10" t="str">
        <x:v>Задач завершено</x:v>
      </x:c>
      <x:c r="B7" s="11" t="n">
        <x:f>COUNTIF('01_План_90'!H2:H31,"завершено")</x:f>
        <x:v>0</x:v>
      </x:c>
    </x:row>
    <x:row r="8">
      <x:c r="A8" s="10" t="str">
        <x:v>Задач в риске</x:v>
      </x:c>
      <x:c r="B8" s="11" t="n">
        <x:f>COUNTIF('01_План_90'!I2:I31,"критический")</x:f>
        <x:v>0</x:v>
      </x:c>
    </x:row>
    <x:row r="9">
      <x:c r="A9" s="10" t="str">
        <x:v>Готовность</x:v>
      </x:c>
      <x:c r="B9" s="12" t="n">
        <x:f>IF(B6=0,0,B7/B6)</x:f>
        <x:v>0</x:v>
      </x:c>
    </x:row>
    <x:row r="10">
      <x:c r="A10" s="10" t="str">
        <x:v>Рекомендация gate</x:v>
      </x:c>
      <x:c r="B10" s="10" t="str">
        <x:f>IF(B6=0,"заполнить план",IF(B8&gt;0,"Conditional Advisory, переходить при условиях",IF(B9&gt;=0.75,"Go to Advisory, переходить в Сопровождение","Conditional Advisory, переходить при условиях")))</x:f>
        <x:v>Conditional Advisory, переходить при условиях</x:v>
      </x:c>
    </x:row>
  </x:sheetData>
  <x:pageMargins left="0.7" right="0.7" top="0.75" bottom="0.75" header="0.3" footer="0.3"/>
  <x:tableParts count="1">
    <x:tablePart xmlns:r="http://schemas.openxmlformats.org/officeDocument/2006/relationships" r:id="R510f6752721544d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18" hidden="0" customWidth="1"/>
    <x:col min="4" max="4" width="55" hidden="0" customWidth="1"/>
    <x:col min="5" max="5" width="32" hidden="0" customWidth="1"/>
    <x:col min="6" max="6" width="24" hidden="0" customWidth="1"/>
    <x:col min="7" max="7" width="16" hidden="0" customWidth="1"/>
    <x:col min="8" max="8" width="18" hidden="0" customWidth="1"/>
    <x:col min="9" max="9" width="16" hidden="0" customWidth="1"/>
    <x:col min="10" max="10" width="42" hidden="0" customWidth="1"/>
  </x:cols>
  <x:sheetData>
    <x:row r="1" ht="34" customHeight="1">
      <x:c r="A1" s="8" t="str">
        <x:v>ID</x:v>
      </x:c>
      <x:c r="B1" s="8" t="str">
        <x:v>Период</x:v>
      </x:c>
      <x:c r="C1" s="8" t="str">
        <x:v>Контур</x:v>
      </x:c>
      <x:c r="D1" s="8" t="str">
        <x:v>Действие</x:v>
      </x:c>
      <x:c r="E1" s="8" t="str">
        <x:v>Артефакт</x:v>
      </x:c>
      <x:c r="F1" s="8" t="str">
        <x:v>Владелец</x:v>
      </x:c>
      <x:c r="G1" s="8" t="str">
        <x:v>Срок</x:v>
      </x:c>
      <x:c r="H1" s="8" t="str">
        <x:v>Статус</x:v>
      </x:c>
      <x:c r="I1" s="8" t="str">
        <x:v>Риск</x:v>
      </x:c>
      <x:c r="J1" s="8" t="str">
        <x:v>Комментарий</x:v>
      </x:c>
    </x:row>
    <x:row r="2">
      <x:c r="A2" s="4" t="str">
        <x:v>D01</x:v>
      </x:c>
      <x:c r="B2" s="4" t="str">
        <x:v>1-30</x:v>
      </x:c>
      <x:c r="C2" s="4" t="str">
        <x:v>Команда</x:v>
      </x:c>
      <x:c r="D2" s="4" t="str">
        <x:v>Назначить C-level sponsor и project owner.</x:v>
      </x:c>
      <x:c r="E2" s="4" t="str">
        <x:v>Роли и мандат</x:v>
      </x:c>
      <x:c r="F2" s="4" t="str">
        <x:v>CEO / owner</x:v>
      </x:c>
      <x:c r="G2" s="4" t="str">
        <x:v>день 5</x:v>
      </x:c>
      <x:c r="H2" s="4" t="str">
        <x:v>не начато</x:v>
      </x:c>
      <x:c r="I2" s="4" t="str">
        <x:v>нет</x:v>
      </x:c>
      <x:c r="J2" s="4" t="str"/>
    </x:row>
    <x:row r="3">
      <x:c r="A3" s="4" t="str">
        <x:v>D02</x:v>
      </x:c>
      <x:c r="B3" s="4" t="str">
        <x:v>1-30</x:v>
      </x:c>
      <x:c r="C3" s="4" t="str">
        <x:v>Архитектура</x:v>
      </x:c>
      <x:c r="D3" s="4" t="str">
        <x:v>Перенести решения Сессии в рабочую карту внедрения.</x:v>
      </x:c>
      <x:c r="E3" s="4" t="str">
        <x:v>Единая версия архитектуры</x:v>
      </x:c>
      <x:c r="F3" s="4" t="str">
        <x:v>Project owner</x:v>
      </x:c>
      <x:c r="G3" s="4" t="str">
        <x:v>день 7</x:v>
      </x:c>
      <x:c r="H3" s="4" t="str">
        <x:v>не начато</x:v>
      </x:c>
      <x:c r="I3" s="4" t="str">
        <x:v>нет</x:v>
      </x:c>
      <x:c r="J3" s="4" t="str"/>
    </x:row>
    <x:row r="4">
      <x:c r="A4" s="4" t="str">
        <x:v>D03</x:v>
      </x:c>
      <x:c r="B4" s="4" t="str">
        <x:v>1-30</x:v>
      </x:c>
      <x:c r="C4" s="4" t="str">
        <x:v>Продукт</x:v>
      </x:c>
      <x:c r="D4" s="4" t="str">
        <x:v>Проверить SKU, ассортиментные позиции, упаковку и сервис на поддержку мотива.</x:v>
      </x:c>
      <x:c r="E4" s="4" t="str">
        <x:v>Список продуктовых решений</x:v>
      </x:c>
      <x:c r="F4" s="4" t="str">
        <x:v>Product lead</x:v>
      </x:c>
      <x:c r="G4" s="4" t="str">
        <x:v>день 12</x:v>
      </x:c>
      <x:c r="H4" s="4" t="str">
        <x:v>не начато</x:v>
      </x:c>
      <x:c r="I4" s="4" t="str">
        <x:v>нет</x:v>
      </x:c>
      <x:c r="J4" s="4" t="str"/>
    </x:row>
    <x:row r="5">
      <x:c r="A5" s="4" t="str">
        <x:v>D04</x:v>
      </x:c>
      <x:c r="B5" s="4" t="str">
        <x:v>1-30</x:v>
      </x:c>
      <x:c r="C5" s="4" t="str">
        <x:v>Ритуал</x:v>
      </x:c>
      <x:c r="D5" s="4" t="str">
        <x:v>Описать пилотный ритуал и условия запуска.</x:v>
      </x:c>
      <x:c r="E5" s="4" t="str">
        <x:v>Паспорт ритуала</x:v>
      </x:c>
      <x:c r="F5" s="4" t="str">
        <x:v>Marketing lead</x:v>
      </x:c>
      <x:c r="G5" s="4" t="str">
        <x:v>день 15</x:v>
      </x:c>
      <x:c r="H5" s="4" t="str">
        <x:v>не начато</x:v>
      </x:c>
      <x:c r="I5" s="4" t="str">
        <x:v>нет</x:v>
      </x:c>
      <x:c r="J5" s="4" t="str"/>
    </x:row>
    <x:row r="6">
      <x:c r="A6" s="4" t="str">
        <x:v>D05</x:v>
      </x:c>
      <x:c r="B6" s="4" t="str">
        <x:v>1-30</x:v>
      </x:c>
      <x:c r="C6" s="4" t="str">
        <x:v>Сигнал</x:v>
      </x:c>
      <x:c r="D6" s="4" t="str">
        <x:v>Выбрать сигнал возврата и канал его доставки.</x:v>
      </x:c>
      <x:c r="E6" s="4" t="str">
        <x:v>Паспорт сигнала</x:v>
      </x:c>
      <x:c r="F6" s="4" t="str">
        <x:v>CRM / channel lead</x:v>
      </x:c>
      <x:c r="G6" s="4" t="str">
        <x:v>день 18</x:v>
      </x:c>
      <x:c r="H6" s="4" t="str">
        <x:v>не начато</x:v>
      </x:c>
      <x:c r="I6" s="4" t="str">
        <x:v>нет</x:v>
      </x:c>
      <x:c r="J6" s="4" t="str"/>
    </x:row>
    <x:row r="7">
      <x:c r="A7" s="4" t="str">
        <x:v>D06</x:v>
      </x:c>
      <x:c r="B7" s="4" t="str">
        <x:v>1-30</x:v>
      </x:c>
      <x:c r="C7" s="4" t="str">
        <x:v>Данные</x:v>
      </x:c>
      <x:c r="D7" s="4" t="str">
        <x:v>Зафиксировать baseline, базовую точку, по метрикам.</x:v>
      </x:c>
      <x:c r="E7" s="4" t="str">
        <x:v>Таблица baseline</x:v>
      </x:c>
      <x:c r="F7" s="4" t="str">
        <x:v>Data / finance</x:v>
      </x:c>
      <x:c r="G7" s="4" t="str">
        <x:v>день 20</x:v>
      </x:c>
      <x:c r="H7" s="4" t="str">
        <x:v>не начато</x:v>
      </x:c>
      <x:c r="I7" s="4" t="str">
        <x:v>нет</x:v>
      </x:c>
      <x:c r="J7" s="4" t="str"/>
    </x:row>
    <x:row r="8">
      <x:c r="A8" s="4" t="str">
        <x:v>D07</x:v>
      </x:c>
      <x:c r="B8" s="4" t="str">
        <x:v>1-30</x:v>
      </x:c>
      <x:c r="C8" s="4" t="str">
        <x:v>Риски</x:v>
      </x:c>
      <x:c r="D8" s="4" t="str">
        <x:v>Собрать риск-контур внедрения.</x:v>
      </x:c>
      <x:c r="E8" s="4" t="str">
        <x:v>Риск-реестр</x:v>
      </x:c>
      <x:c r="F8" s="4" t="str">
        <x:v>Project owner</x:v>
      </x:c>
      <x:c r="G8" s="4" t="str">
        <x:v>день 25</x:v>
      </x:c>
      <x:c r="H8" s="4" t="str">
        <x:v>не начато</x:v>
      </x:c>
      <x:c r="I8" s="4" t="str">
        <x:v>нет</x:v>
      </x:c>
      <x:c r="J8" s="4" t="str"/>
    </x:row>
    <x:row r="9">
      <x:c r="A9" s="4" t="str">
        <x:v>D08</x:v>
      </x:c>
      <x:c r="B9" s="4" t="str">
        <x:v>1-30</x:v>
      </x:c>
      <x:c r="C9" s="4" t="str">
        <x:v>Gate</x:v>
      </x:c>
      <x:c r="D9" s="4" t="str">
        <x:v>Проверить готовность к пилоту.</x:v>
      </x:c>
      <x:c r="E9" s="4" t="str">
        <x:v>Go / Conditional / No</x:v>
      </x:c>
      <x:c r="F9" s="4" t="str">
        <x:v>C-level sponsor</x:v>
      </x:c>
      <x:c r="G9" s="4" t="str">
        <x:v>день 30</x:v>
      </x:c>
      <x:c r="H9" s="4" t="str">
        <x:v>не начато</x:v>
      </x:c>
      <x:c r="I9" s="4" t="str">
        <x:v>нет</x:v>
      </x:c>
      <x:c r="J9" s="4" t="str"/>
    </x:row>
    <x:row r="10">
      <x:c r="A10" s="4" t="str">
        <x:v>D09</x:v>
      </x:c>
      <x:c r="B10" s="4" t="str">
        <x:v>31-60</x:v>
      </x:c>
      <x:c r="C10" s="4" t="str">
        <x:v>Пилот</x:v>
      </x:c>
      <x:c r="D10" s="4" t="str">
        <x:v>Запустить пилот ритуала в выбранной сцене.</x:v>
      </x:c>
      <x:c r="E10" s="4" t="str">
        <x:v>Пилот запущен</x:v>
      </x:c>
      <x:c r="F10" s="4" t="str">
        <x:v>Marketing lead</x:v>
      </x:c>
      <x:c r="G10" s="4" t="str">
        <x:v>день 35</x:v>
      </x:c>
      <x:c r="H10" s="4" t="str">
        <x:v>не начато</x:v>
      </x:c>
      <x:c r="I10" s="4" t="str">
        <x:v>нет</x:v>
      </x:c>
      <x:c r="J10" s="4" t="str"/>
    </x:row>
    <x:row r="11">
      <x:c r="A11" s="4" t="str">
        <x:v>D10</x:v>
      </x:c>
      <x:c r="B11" s="4" t="str">
        <x:v>31-60</x:v>
      </x:c>
      <x:c r="C11" s="4" t="str">
        <x:v>Канал</x:v>
      </x:c>
      <x:c r="D11" s="4" t="str">
        <x:v>Встроить сигнал в канал продаж или коммуникации.</x:v>
      </x:c>
      <x:c r="E11" s="4" t="str">
        <x:v>Сигнал в канале</x:v>
      </x:c>
      <x:c r="F11" s="4" t="str">
        <x:v>Channel lead</x:v>
      </x:c>
      <x:c r="G11" s="4" t="str">
        <x:v>день 40</x:v>
      </x:c>
      <x:c r="H11" s="4" t="str">
        <x:v>не начато</x:v>
      </x:c>
      <x:c r="I11" s="4" t="str">
        <x:v>нет</x:v>
      </x:c>
      <x:c r="J11" s="4" t="str"/>
    </x:row>
    <x:row r="12">
      <x:c r="A12" s="4" t="str">
        <x:v>D11</x:v>
      </x:c>
      <x:c r="B12" s="4" t="str">
        <x:v>31-60</x:v>
      </x:c>
      <x:c r="C12" s="4" t="str">
        <x:v>Контент</x:v>
      </x:c>
      <x:c r="D12" s="4" t="str">
        <x:v>Подготовить материалы, поддерживающие ритуал и сигнал.</x:v>
      </x:c>
      <x:c r="E12" s="4" t="str">
        <x:v>Контент-рамка</x:v>
      </x:c>
      <x:c r="F12" s="4" t="str">
        <x:v>Content owner</x:v>
      </x:c>
      <x:c r="G12" s="4" t="str">
        <x:v>день 42</x:v>
      </x:c>
      <x:c r="H12" s="4" t="str">
        <x:v>не начато</x:v>
      </x:c>
      <x:c r="I12" s="4" t="str">
        <x:v>нет</x:v>
      </x:c>
      <x:c r="J12" s="4" t="str"/>
    </x:row>
    <x:row r="13">
      <x:c r="A13" s="4" t="str">
        <x:v>D12</x:v>
      </x:c>
      <x:c r="B13" s="4" t="str">
        <x:v>31-60</x:v>
      </x:c>
      <x:c r="C13" s="4" t="str">
        <x:v>Метрики</x:v>
      </x:c>
      <x:c r="D13" s="4" t="str">
        <x:v>Собрать первые данные пилота.</x:v>
      </x:c>
      <x:c r="E13" s="4" t="str">
        <x:v>Первые факты</x:v>
      </x:c>
      <x:c r="F13" s="4" t="str">
        <x:v>Data / finance</x:v>
      </x:c>
      <x:c r="G13" s="4" t="str">
        <x:v>день 48</x:v>
      </x:c>
      <x:c r="H13" s="4" t="str">
        <x:v>не начато</x:v>
      </x:c>
      <x:c r="I13" s="4" t="str">
        <x:v>нет</x:v>
      </x:c>
      <x:c r="J13" s="4" t="str"/>
    </x:row>
    <x:row r="14">
      <x:c r="A14" s="4" t="str">
        <x:v>D13</x:v>
      </x:c>
      <x:c r="B14" s="4" t="str">
        <x:v>31-60</x:v>
      </x:c>
      <x:c r="C14" s="4" t="str">
        <x:v>Разрывы</x:v>
      </x:c>
      <x:c r="D14" s="4" t="str">
        <x:v>Описать разрывы между архитектурой и фактическим запуском.</x:v>
      </x:c>
      <x:c r="E14" s="4" t="str">
        <x:v>Gap list, список разрывов</x:v>
      </x:c>
      <x:c r="F14" s="4" t="str">
        <x:v>Project owner</x:v>
      </x:c>
      <x:c r="G14" s="4" t="str">
        <x:v>день 52</x:v>
      </x:c>
      <x:c r="H14" s="4" t="str">
        <x:v>не начато</x:v>
      </x:c>
      <x:c r="I14" s="4" t="str">
        <x:v>нет</x:v>
      </x:c>
      <x:c r="J14" s="4" t="str"/>
    </x:row>
    <x:row r="15">
      <x:c r="A15" s="4" t="str">
        <x:v>D14</x:v>
      </x:c>
      <x:c r="B15" s="4" t="str">
        <x:v>31-60</x:v>
      </x:c>
      <x:c r="C15" s="4" t="str">
        <x:v>Корректировка</x:v>
      </x:c>
      <x:c r="D15" s="4" t="str">
        <x:v>Донастроить ритуал, сигнал, канал или продукт.</x:v>
      </x:c>
      <x:c r="E15" s="4" t="str">
        <x:v>Список корректировок</x:v>
      </x:c>
      <x:c r="F15" s="4" t="str">
        <x:v>Team leads</x:v>
      </x:c>
      <x:c r="G15" s="4" t="str">
        <x:v>день 56</x:v>
      </x:c>
      <x:c r="H15" s="4" t="str">
        <x:v>не начато</x:v>
      </x:c>
      <x:c r="I15" s="4" t="str">
        <x:v>нет</x:v>
      </x:c>
      <x:c r="J15" s="4" t="str"/>
    </x:row>
    <x:row r="16">
      <x:c r="A16" s="4" t="str">
        <x:v>D15</x:v>
      </x:c>
      <x:c r="B16" s="4" t="str">
        <x:v>31-60</x:v>
      </x:c>
      <x:c r="C16" s="4" t="str">
        <x:v>Gate</x:v>
      </x:c>
      <x:c r="D16" s="4" t="str">
        <x:v>Проверить готовность к закреплению.</x:v>
      </x:c>
      <x:c r="E16" s="4" t="str">
        <x:v>Go / Conditional / No</x:v>
      </x:c>
      <x:c r="F16" s="4" t="str">
        <x:v>C-level sponsor</x:v>
      </x:c>
      <x:c r="G16" s="4" t="str">
        <x:v>день 60</x:v>
      </x:c>
      <x:c r="H16" s="4" t="str">
        <x:v>не начато</x:v>
      </x:c>
      <x:c r="I16" s="4" t="str">
        <x:v>нет</x:v>
      </x:c>
      <x:c r="J16" s="4" t="str"/>
    </x:row>
    <x:row r="17">
      <x:c r="A17" s="4" t="str">
        <x:v>D16</x:v>
      </x:c>
      <x:c r="B17" s="4" t="str">
        <x:v>61-90</x:v>
      </x:c>
      <x:c r="C17" s="4" t="str">
        <x:v>Ритм</x:v>
      </x:c>
      <x:c r="D17" s="4" t="str">
        <x:v>Запустить регулярный управленческий ритм.</x:v>
      </x:c>
      <x:c r="E17" s="4" t="str">
        <x:v>Календарь решений</x:v>
      </x:c>
      <x:c r="F17" s="4" t="str">
        <x:v>Project owner</x:v>
      </x:c>
      <x:c r="G17" s="4" t="str">
        <x:v>день 65</x:v>
      </x:c>
      <x:c r="H17" s="4" t="str">
        <x:v>не начато</x:v>
      </x:c>
      <x:c r="I17" s="4" t="str">
        <x:v>нет</x:v>
      </x:c>
      <x:c r="J17" s="4" t="str"/>
    </x:row>
    <x:row r="18">
      <x:c r="A18" s="4" t="str">
        <x:v>D17</x:v>
      </x:c>
      <x:c r="B18" s="4" t="str">
        <x:v>61-90</x:v>
      </x:c>
      <x:c r="C18" s="4" t="str">
        <x:v>Отчетность</x:v>
      </x:c>
      <x:c r="D18" s="4" t="str">
        <x:v>Настроить отчет по повторяемости и финансовым гипотезам.</x:v>
      </x:c>
      <x:c r="E18" s="4" t="str">
        <x:v>Форма отчета</x:v>
      </x:c>
      <x:c r="F18" s="4" t="str">
        <x:v>Data / finance</x:v>
      </x:c>
      <x:c r="G18" s="4" t="str">
        <x:v>день 70</x:v>
      </x:c>
      <x:c r="H18" s="4" t="str">
        <x:v>не начато</x:v>
      </x:c>
      <x:c r="I18" s="4" t="str">
        <x:v>нет</x:v>
      </x:c>
      <x:c r="J18" s="4" t="str"/>
    </x:row>
    <x:row r="19">
      <x:c r="A19" s="4" t="str">
        <x:v>D18</x:v>
      </x:c>
      <x:c r="B19" s="4" t="str">
        <x:v>61-90</x:v>
      </x:c>
      <x:c r="C19" s="4" t="str">
        <x:v>Команда</x:v>
      </x:c>
      <x:c r="D19" s="4" t="str">
        <x:v>Закрепить RACI, матрицу ответственности.</x:v>
      </x:c>
      <x:c r="E19" s="4" t="str">
        <x:v>RACI</x:v>
      </x:c>
      <x:c r="F19" s="4" t="str">
        <x:v>Project owner</x:v>
      </x:c>
      <x:c r="G19" s="4" t="str">
        <x:v>день 75</x:v>
      </x:c>
      <x:c r="H19" s="4" t="str">
        <x:v>не начато</x:v>
      </x:c>
      <x:c r="I19" s="4" t="str">
        <x:v>нет</x:v>
      </x:c>
      <x:c r="J19" s="4" t="str"/>
    </x:row>
    <x:row r="20">
      <x:c r="A20" s="4" t="str">
        <x:v>D19</x:v>
      </x:c>
      <x:c r="B20" s="4" t="str">
        <x:v>61-90</x:v>
      </x:c>
      <x:c r="C20" s="4" t="str">
        <x:v>Масштабирование</x:v>
      </x:c>
      <x:c r="D20" s="4" t="str">
        <x:v>Определить, что можно расширять после пилота.</x:v>
      </x:c>
      <x:c r="E20" s="4" t="str">
        <x:v>Правила масштабирования</x:v>
      </x:c>
      <x:c r="F20" s="4" t="str">
        <x:v>C-level sponsor</x:v>
      </x:c>
      <x:c r="G20" s="4" t="str">
        <x:v>день 82</x:v>
      </x:c>
      <x:c r="H20" s="4" t="str">
        <x:v>не начато</x:v>
      </x:c>
      <x:c r="I20" s="4" t="str">
        <x:v>нет</x:v>
      </x:c>
      <x:c r="J20" s="4" t="str"/>
    </x:row>
    <x:row r="21">
      <x:c r="A21" s="4" t="str">
        <x:v>D20</x:v>
      </x:c>
      <x:c r="B21" s="4" t="str">
        <x:v>61-90</x:v>
      </x:c>
      <x:c r="C21" s="4" t="str">
        <x:v>Gate</x:v>
      </x:c>
      <x:c r="D21" s="4" t="str">
        <x:v>Принять решение о Сопровождении.</x:v>
      </x:c>
      <x:c r="E21" s="4" t="str">
        <x:v>Go to Advisory / Conditional / No</x:v>
      </x:c>
      <x:c r="F21" s="4" t="str">
        <x:v>C-level sponsor</x:v>
      </x:c>
      <x:c r="G21" s="4" t="str">
        <x:v>день 90</x:v>
      </x:c>
      <x:c r="H21" s="4" t="str">
        <x:v>не начато</x:v>
      </x:c>
      <x:c r="I21" s="4" t="str">
        <x:v>нет</x:v>
      </x:c>
      <x:c r="J21" s="4" t="str"/>
    </x:row>
  </x:sheetData>
  <x:conditionalFormatting sqref="H2:H31">
    <x:cfRule type="containsText" dxfId="0" priority="1" operator="containsText" text="завершено"/>
    <x:cfRule type="containsText" dxfId="1" priority="2" operator="containsText" text="заблокировано"/>
  </x:conditionalFormatting>
  <x:conditionalFormatting sqref="I2:I31">
    <x:cfRule type="containsText" dxfId="2" priority="3" operator="containsText" text="критический"/>
  </x:conditionalFormatting>
  <x:dataValidations count="2">
    <x:dataValidation type="list" sqref="H2:H31">
      <x:formula1>"не начато,в работе,завершено,заблокировано"</x:formula1>
    </x:dataValidation>
    <x:dataValidation type="list" sqref="I2:I31">
      <x:formula1>"нет,низкий,средний,критический"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cead1737c546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4" hidden="0" customWidth="1"/>
    <x:col min="3" max="3" width="34" hidden="0" customWidth="1"/>
    <x:col min="4" max="4" width="20" hidden="0" customWidth="1"/>
  </x:cols>
  <x:sheetData>
    <x:row r="1" ht="34" customHeight="1">
      <x:c r="A1" s="8" t="str">
        <x:v>Роль</x:v>
      </x:c>
      <x:c r="B1" s="8" t="str">
        <x:v>Ответственность</x:v>
      </x:c>
      <x:c r="C1" s="8" t="str">
        <x:v>Назначенный человек</x:v>
      </x:c>
      <x:c r="D1" s="8" t="str">
        <x:v>Статус</x:v>
      </x:c>
    </x:row>
    <x:row r="2">
      <x:c r="A2" s="4" t="str">
        <x:v>C-level sponsor</x:v>
      </x:c>
      <x:c r="B2" s="4" t="str">
        <x:v>Управленческий мандат, gate-решения, снятие блокеров.</x:v>
      </x:c>
      <x:c r="C2" s="4" t="str"/>
      <x:c r="D2" s="4" t="str">
        <x:v>обязательно</x:v>
      </x:c>
    </x:row>
    <x:row r="3">
      <x:c r="A3" s="4" t="str">
        <x:v>Project owner</x:v>
      </x:c>
      <x:c r="B3" s="4" t="str">
        <x:v>Ежедневное ведение внедрения, синхронизация владельцев.</x:v>
      </x:c>
      <x:c r="C3" s="4" t="str"/>
      <x:c r="D3" s="4" t="str">
        <x:v>обязательно</x:v>
      </x:c>
    </x:row>
    <x:row r="4">
      <x:c r="A4" s="4" t="str">
        <x:v>Product lead</x:v>
      </x:c>
      <x:c r="B4" s="4" t="str">
        <x:v>Продукт, SKU, ассортиментные позиции, упаковка, сервис.</x:v>
      </x:c>
      <x:c r="C4" s="4" t="str"/>
      <x:c r="D4" s="4" t="str">
        <x:v>обязательно</x:v>
      </x:c>
    </x:row>
    <x:row r="5">
      <x:c r="A5" s="4" t="str">
        <x:v>Marketing lead</x:v>
      </x:c>
      <x:c r="B5" s="4" t="str">
        <x:v>Ритуал, сигнал, коммуникация, контент-рамка.</x:v>
      </x:c>
      <x:c r="C5" s="4" t="str"/>
      <x:c r="D5" s="4" t="str">
        <x:v>обязательно</x:v>
      </x:c>
    </x:row>
    <x:row r="6">
      <x:c r="A6" s="4" t="str">
        <x:v>Channel lead</x:v>
      </x:c>
      <x:c r="B6" s="4" t="str">
        <x:v>Розница, маркетплейс, D2C, прямые продажи, CRM.</x:v>
      </x:c>
      <x:c r="C6" s="4" t="str"/>
      <x:c r="D6" s="4" t="str">
        <x:v>по категории</x:v>
      </x:c>
    </x:row>
    <x:row r="7">
      <x:c r="A7" s="4" t="str">
        <x:v>Data / finance</x:v>
      </x:c>
      <x:c r="B7" s="4" t="str">
        <x:v>Baseline, базовая точка, метрики, финансовые гипотезы.</x:v>
      </x:c>
      <x:c r="C7" s="4" t="str"/>
      <x:c r="D7" s="4" t="str">
        <x:v>обязательно</x:v>
      </x:c>
    </x:row>
  </x:sheetData>
  <x:pageMargins left="0.7" right="0.7" top="0.75" bottom="0.75" header="0.3" footer="0.3"/>
  <x:tableParts count="1">
    <x:tablePart xmlns:r="http://schemas.openxmlformats.org/officeDocument/2006/relationships" r:id="R8cf67375c39645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2" hidden="0" customWidth="1"/>
    <x:col min="4" max="4" width="54" hidden="0" customWidth="1"/>
    <x:col min="5" max="5" width="58" hidden="0" customWidth="1"/>
  </x:cols>
  <x:sheetData>
    <x:row r="1" ht="34" customHeight="1">
      <x:c r="A1" s="8" t="str">
        <x:v>Метрика</x:v>
      </x:c>
      <x:c r="B1" s="8" t="str">
        <x:v>Единица</x:v>
      </x:c>
      <x:c r="C1" s="8" t="str">
        <x:v>Baseline</x:v>
      </x:c>
      <x:c r="D1" s="8" t="str">
        <x:v>Зачем нужна</x:v>
      </x:c>
      <x:c r="E1" s="8" t="str">
        <x:v>Ограничение</x:v>
      </x:c>
    </x:row>
    <x:row r="2">
      <x:c r="A2" s="4" t="str">
        <x:v>Повторная покупка</x:v>
      </x:c>
      <x:c r="B2" s="4" t="str">
        <x:v>% / раз</x:v>
      </x:c>
      <x:c r="C2" s="4" t="str"/>
      <x:c r="D2" s="4" t="str">
        <x:v>Показывает повторяемость поведения.</x:v>
      </x:c>
      <x:c r="E2" s="4" t="str">
        <x:v>Не путать с разовым промо-всплеском.</x:v>
      </x:c>
    </x:row>
    <x:row r="3">
      <x:c r="A3" s="4" t="str">
        <x:v>Частота покупки</x:v>
      </x:c>
      <x:c r="B3" s="4" t="str">
        <x:v>раз / период</x:v>
      </x:c>
      <x:c r="C3" s="4" t="str"/>
      <x:c r="D3" s="4" t="str">
        <x:v>Проверяет ритуал и регулярность.</x:v>
      </x:c>
      <x:c r="E3" s="4" t="str">
        <x:v>Если данных нет, фиксировать как гипотезу.</x:v>
      </x:c>
    </x:row>
    <x:row r="4">
      <x:c r="A4" s="4" t="str">
        <x:v>Промо-доля</x:v>
      </x:c>
      <x:c r="B4" s="4" t="str">
        <x:v>%</x:v>
      </x:c>
      <x:c r="C4" s="4" t="str"/>
      <x:c r="D4" s="4" t="str">
        <x:v>Показывает зависимость от разового спроса.</x:v>
      </x:c>
      <x:c r="E4" s="4" t="str">
        <x:v>Снижение не обещается без модели.</x:v>
      </x:c>
    </x:row>
    <x:row r="5">
      <x:c r="A5" s="4" t="str">
        <x:v>Маржа</x:v>
      </x:c>
      <x:c r="B5" s="4" t="str">
        <x:v>% / руб.</x:v>
      </x:c>
      <x:c r="C5" s="4" t="str"/>
      <x:c r="D5" s="4" t="str">
        <x:v>Проверяет экономический смысл внедрения.</x:v>
      </x:c>
      <x:c r="E5" s="4" t="str">
        <x:v>Не обещать рост без P&amp;L, отчета о прибыли и убытках.</x:v>
      </x:c>
    </x:row>
    <x:row r="6">
      <x:c r="A6" s="4" t="str">
        <x:v>CAC, стоимость привлечения клиента</x:v>
      </x:c>
      <x:c r="B6" s="4" t="str">
        <x:v>руб.</x:v>
      </x:c>
      <x:c r="C6" s="4" t="str"/>
      <x:c r="D6" s="4" t="str">
        <x:v>Показывает цену покупки спроса заново.</x:v>
      </x:c>
      <x:c r="E6" s="4" t="str">
        <x:v>Не обещать снижение без источника данных.</x:v>
      </x:c>
    </x:row>
    <x:row r="7">
      <x:c r="A7" s="4" t="str">
        <x:v>LTV, пожизненная ценность клиента</x:v>
      </x:c>
      <x:c r="B7" s="4" t="str">
        <x:v>руб.</x:v>
      </x:c>
      <x:c r="C7" s="4" t="str"/>
      <x:c r="D7" s="4" t="str">
        <x:v>Показывает долгий эффект повторяемости.</x:v>
      </x:c>
      <x:c r="E7" s="4" t="str">
        <x:v>Считать только при понятной методике.</x:v>
      </x:c>
    </x:row>
  </x:sheetData>
  <x:pageMargins left="0.7" right="0.7" top="0.75" bottom="0.75" header="0.3" footer="0.3"/>
  <x:tableParts count="1">
    <x:tablePart xmlns:r="http://schemas.openxmlformats.org/officeDocument/2006/relationships" r:id="R9df3d47b5fb94f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6" hidden="0" customWidth="1"/>
    <x:col min="3" max="3" width="54" hidden="0" customWidth="1"/>
    <x:col min="4" max="4" width="28" hidden="0" customWidth="1"/>
  </x:cols>
  <x:sheetData>
    <x:row r="1" ht="34" customHeight="1">
      <x:c r="A1" s="8" t="str">
        <x:v>Gate</x:v>
      </x:c>
      <x:c r="B1" s="8" t="str">
        <x:v>Условие</x:v>
      </x:c>
      <x:c r="C1" s="8" t="str">
        <x:v>Факт / комментарий</x:v>
      </x:c>
      <x:c r="D1" s="8" t="str">
        <x:v>Решение</x:v>
      </x:c>
    </x:row>
    <x:row r="2">
      <x:c r="A2" s="4" t="str">
        <x:v>P0. Архитектура</x:v>
      </x:c>
      <x:c r="B2" s="4" t="str">
        <x:v>Внедряется выбранная на Сессии архитектура.</x:v>
      </x:c>
      <x:c r="C2" s="4" t="str"/>
      <x:c r="D2" s="4" t="str">
        <x:v>Go / Conditional / No</x:v>
      </x:c>
    </x:row>
    <x:row r="3">
      <x:c r="A3" s="4" t="str">
        <x:v>P1. Роли</x:v>
      </x:c>
      <x:c r="B3" s="4" t="str">
        <x:v>Назначены владельцы продукта, коммуникации, канала, данных и финансов.</x:v>
      </x:c>
      <x:c r="C3" s="4" t="str"/>
      <x:c r="D3" s="4" t="str">
        <x:v>Go / Conditional / No</x:v>
      </x:c>
    </x:row>
    <x:row r="4">
      <x:c r="A4" s="4" t="str">
        <x:v>P2. Ритуал и сигнал</x:v>
      </x:c>
      <x:c r="B4" s="4" t="str">
        <x:v>Есть пилот ритуала и сигнала или утвержденный запуск.</x:v>
      </x:c>
      <x:c r="C4" s="4" t="str"/>
      <x:c r="D4" s="4" t="str">
        <x:v>Go / Conditional / No</x:v>
      </x:c>
    </x:row>
    <x:row r="5">
      <x:c r="A5" s="4" t="str">
        <x:v>P3. Метрики</x:v>
      </x:c>
      <x:c r="B5" s="4" t="str">
        <x:v>Есть источники данных и baseline, базовая точка.</x:v>
      </x:c>
      <x:c r="C5" s="4" t="str"/>
      <x:c r="D5" s="4" t="str">
        <x:v>Go / Conditional / No</x:v>
      </x:c>
    </x:row>
    <x:row r="6">
      <x:c r="A6" s="4" t="str">
        <x:v>P4. Риск-контур</x:v>
      </x:c>
      <x:c r="B6" s="4" t="str">
        <x:v>Есть риск-реестр, стоп-линии и ответственные.</x:v>
      </x:c>
      <x:c r="C6" s="4" t="str"/>
      <x:c r="D6" s="4" t="str">
        <x:v>Go / Conditional / No</x:v>
      </x:c>
    </x:row>
    <x:row r="7">
      <x:c r="A7" s="4" t="str">
        <x:v>P5. Ритм управления</x:v>
      </x:c>
      <x:c r="B7" s="4" t="str">
        <x:v>Назначены встречи, решения, отчетность и владельцы реакции.</x:v>
      </x:c>
      <x:c r="C7" s="4" t="str"/>
      <x:c r="D7" s="4" t="str">
        <x:v>Go / Conditional / No</x:v>
      </x:c>
    </x:row>
  </x:sheetData>
  <x:dataValidations count="1">
    <x:dataValidation type="list" sqref="D2:D7">
      <x:formula1>"Go,Conditional,No"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dc79231a734f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4" hidden="0" customWidth="1"/>
    <x:col min="3" max="3" width="50" hidden="0" customWidth="1"/>
  </x:cols>
  <x:sheetData>
    <x:row r="1" ht="34" customHeight="1">
      <x:c r="A1" s="8" t="str">
        <x:v>Артефакт</x:v>
      </x:c>
      <x:c r="B1" s="8" t="str">
        <x:v>Файл</x:v>
      </x:c>
      <x:c r="C1" s="8" t="str">
        <x:v>Роль</x:v>
      </x:c>
    </x:row>
    <x:row r="2">
      <x:c r="A2" s="4" t="str">
        <x:v>Итоговый пакет</x:v>
      </x:c>
      <x:c r="B2" s="4" t="str">
        <x:v>Повторяемый_Спрос_Спринт_Итоговый_Пакет_Внедрения_v2.docx</x:v>
      </x:c>
      <x:c r="C2" s="4" t="str">
        <x:v>клиентский результат Спринта</x:v>
      </x:c>
    </x:row>
    <x:row r="3">
      <x:c r="A3" s="4" t="str">
        <x:v>Gate-протокол</x:v>
      </x:c>
      <x:c r="B3" s="4" t="str">
        <x:v>Повторяемый_Спрос_Спринт_Gate_Протокол_v2.docx</x:v>
      </x:c>
      <x:c r="C3" s="4" t="str">
        <x:v>контроль перехода в Сопровождение</x:v>
      </x:c>
    </x:row>
    <x:row r="4">
      <x:c r="A4" s="4" t="str">
        <x:v>90-дневный план</x:v>
      </x:c>
      <x:c r="B4" s="4" t="str">
        <x:v>Повторяемый_Спрос_Спринт_План_Внедрения_90_Дней_v2.xlsx</x:v>
      </x:c>
      <x:c r="C4" s="4" t="str">
        <x:v>рабочая модель внедрения</x:v>
      </x:c>
    </x:row>
    <x:row r="5">
      <x:c r="A5" s="4" t="str">
        <x:v>Следующий продукт</x:v>
      </x:c>
      <x:c r="B5" s="4" t="str">
        <x:v>Повторяемый_Спрос_Сопровождение_Паспорт_Продукта.docx</x:v>
      </x:c>
      <x:c r="C5" s="4" t="str">
        <x:v>продается только после gate</x:v>
      </x:c>
    </x:row>
  </x:sheetData>
  <x:pageMargins left="0.7" right="0.7" top="0.75" bottom="0.75" header="0.3" footer="0.3"/>
  <x:tableParts count="1">
    <x:tablePart xmlns:r="http://schemas.openxmlformats.org/officeDocument/2006/relationships" r:id="R5809e55a44c543b4"/>
  </x:tableParts>
</x:worksheet>
</file>