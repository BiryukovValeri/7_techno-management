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Управленческий вывод" sheetId="1" state="visible" r:id="rId1"/>
    <sheet xmlns:r="http://schemas.openxmlformats.org/officeDocument/2006/relationships" name="Допущения" sheetId="2" state="visible" r:id="rId2"/>
    <sheet xmlns:r="http://schemas.openxmlformats.org/officeDocument/2006/relationships" name="P&amp;L сравнение" sheetId="3" state="visible" r:id="rId3"/>
    <sheet xmlns:r="http://schemas.openxmlformats.org/officeDocument/2006/relationships" name="Воронка спроса" sheetId="4" state="visible" r:id="rId4"/>
    <sheet xmlns:r="http://schemas.openxmlformats.org/officeDocument/2006/relationships" name="Проверки" sheetId="5" state="visible" r:id="rId5"/>
  </sheets>
  <definedNames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5">
    <font>
      <name val="Carlito"/>
      <sz val="11"/>
    </font>
    <font>
      <name val="Carlito"/>
      <b val="1"/>
      <color rgb="FF0B1F33"/>
      <sz val="15"/>
    </font>
    <font>
      <name val="Carlito"/>
      <b val="1"/>
      <color rgb="FFB46A3C"/>
      <sz val="11"/>
    </font>
    <font>
      <name val="Carlito"/>
      <b val="1"/>
      <color rgb="FF0B1F33"/>
      <sz val="11"/>
    </font>
    <font>
      <name val="Carlito"/>
      <b val="1"/>
      <sz val="11"/>
    </font>
  </fonts>
  <fills count="2">
    <fill>
      <patternFill/>
    </fill>
    <fill>
      <patternFill patternType="gray125"/>
    </fill>
  </fills>
  <borders count="16">
    <border/>
    <border>
      <left style="thin">
        <color rgb="FF0B1F33"/>
      </left>
      <top style="thin">
        <color rgb="FF0B1F33"/>
      </top>
      <bottom style="thin">
        <color rgb="FF0B1F33"/>
      </bottom>
    </border>
    <border>
      <top style="thin">
        <color rgb="FF0B1F33"/>
      </top>
      <bottom style="thin">
        <color rgb="FF0B1F33"/>
      </bottom>
    </border>
    <border>
      <right style="thin">
        <color rgb="FF0B1F33"/>
      </right>
      <top style="thin">
        <color rgb="FF0B1F33"/>
      </top>
      <bottom style="thin">
        <color rgb="FF0B1F33"/>
      </bottom>
    </border>
    <border>
      <left style="thin">
        <color rgb="FFCBD5E1"/>
      </left>
      <top style="thin">
        <color rgb="FFCBD5E1"/>
      </top>
    </border>
    <border>
      <top style="thin">
        <color rgb="FFCBD5E1"/>
      </top>
    </border>
    <border>
      <right style="thin">
        <color rgb="FFCBD5E1"/>
      </right>
      <top style="thin">
        <color rgb="FFCBD5E1"/>
      </top>
    </border>
    <border>
      <left style="thin">
        <color rgb="FFCBD5E1"/>
      </left>
      <bottom style="thin">
        <color rgb="FFCBD5E1"/>
      </bottom>
    </border>
    <border>
      <bottom style="thin">
        <color rgb="FFCBD5E1"/>
      </bottom>
    </border>
    <border>
      <right style="thin">
        <color rgb="FFCBD5E1"/>
      </right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0B1F33"/>
      </left>
      <right style="thin">
        <color rgb="FF0B1F33"/>
      </right>
      <top style="thin">
        <color rgb="FF0B1F33"/>
      </top>
      <bottom style="thin">
        <color rgb="FF0B1F33"/>
      </bottom>
    </border>
    <border>
      <top style="thin">
        <color rgb="FF0B1F33"/>
      </top>
    </border>
    <border>
      <right style="thin">
        <color rgb="FF0B1F33"/>
      </right>
      <top style="thin">
        <color rgb="FF0B1F33"/>
      </top>
    </border>
    <border>
      <right style="thin">
        <color rgb="FFCBD5E1"/>
      </right>
      <top style="thin">
        <color rgb="FFCBD5E1"/>
      </top>
      <bottom style="thin">
        <color rgb="FFCBD5E1"/>
      </bottom>
    </border>
    <border>
      <right style="thin">
        <color rgb="FFCBD5E1"/>
      </right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2" fillId="0" borderId="0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3" fillId="0" borderId="0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wrapText="1"/>
    </xf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3" fontId="0" fillId="0" borderId="10" applyAlignment="1" pivotButton="0" quotePrefix="0" xfId="0">
      <alignment wrapText="1"/>
    </xf>
    <xf numFmtId="164" fontId="0" fillId="0" borderId="10" applyAlignment="1" pivotButton="0" quotePrefix="0" xfId="0">
      <alignment wrapText="1"/>
    </xf>
    <xf numFmtId="3" fontId="0" fillId="0" borderId="10" applyAlignment="1" pivotButton="0" quotePrefix="0" xfId="0">
      <alignment wrapText="1"/>
    </xf>
    <xf numFmtId="164" fontId="0" fillId="0" borderId="10" applyAlignment="1" pivotButton="0" quotePrefix="0" xfId="0">
      <alignment wrapText="1"/>
    </xf>
    <xf numFmtId="165" fontId="0" fillId="0" borderId="10" applyAlignment="1" pivotButton="0" quotePrefix="0" xfId="0">
      <alignment wrapText="1"/>
    </xf>
    <xf numFmtId="1" fontId="0" fillId="0" borderId="10" applyAlignment="1" pivotButton="0" quotePrefix="0" xfId="0">
      <alignment wrapText="1"/>
    </xf>
    <xf numFmtId="49" fontId="0" fillId="0" borderId="10" applyAlignment="1" pivotButton="0" quotePrefix="0" xfId="0">
      <alignment wrapText="1"/>
    </xf>
    <xf numFmtId="165" fontId="0" fillId="0" borderId="10" applyAlignment="1" pivotButton="0" quotePrefix="0" xfId="0">
      <alignment wrapText="1"/>
    </xf>
    <xf numFmtId="1" fontId="0" fillId="0" borderId="10" applyAlignment="1" pivotButton="0" quotePrefix="0" xfId="0">
      <alignment wrapText="1"/>
    </xf>
    <xf numFmtId="49" fontId="0" fillId="0" borderId="10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49" fontId="2" fillId="0" borderId="10" applyAlignment="1" pivotButton="0" quotePrefix="0" xfId="0">
      <alignment wrapText="1"/>
    </xf>
    <xf numFmtId="0" fontId="4" fillId="0" borderId="10" applyAlignment="1" pivotButton="0" quotePrefix="0" xfId="0">
      <alignment wrapText="1"/>
    </xf>
    <xf numFmtId="3" fontId="4" fillId="0" borderId="10" applyAlignment="1" pivotButton="0" quotePrefix="0" xfId="0">
      <alignment wrapText="1"/>
    </xf>
    <xf numFmtId="164" fontId="4" fillId="0" borderId="10" applyAlignment="1" pivotButton="0" quotePrefix="0" xfId="0">
      <alignment wrapText="1"/>
    </xf>
    <xf numFmtId="0" fontId="1" fillId="0" borderId="11" pivotButton="0" quotePrefix="0" xfId="0"/>
    <xf numFmtId="0" fontId="0" fillId="0" borderId="2" pivotButton="0" quotePrefix="0" xfId="0"/>
    <xf numFmtId="0" fontId="0" fillId="0" borderId="3" pivotButton="0" quotePrefix="0" xfId="0"/>
    <xf numFmtId="0" fontId="2" fillId="0" borderId="14" applyAlignment="1" pivotButton="0" quotePrefix="0" xfId="0">
      <alignment wrapText="1"/>
    </xf>
    <xf numFmtId="0" fontId="0" fillId="0" borderId="5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  <xf numFmtId="3" fontId="0" fillId="0" borderId="10" applyAlignment="1" pivotButton="0" quotePrefix="0" xfId="0">
      <alignment wrapText="1"/>
    </xf>
    <xf numFmtId="164" fontId="0" fillId="0" borderId="10" applyAlignment="1" pivotButton="0" quotePrefix="0" xfId="0">
      <alignment wrapText="1"/>
    </xf>
    <xf numFmtId="165" fontId="0" fillId="0" borderId="10" applyAlignment="1" pivotButton="0" quotePrefix="0" xfId="0">
      <alignment wrapText="1"/>
    </xf>
    <xf numFmtId="1" fontId="0" fillId="0" borderId="10" applyAlignment="1" pivotButton="0" quotePrefix="0" xfId="0">
      <alignment wrapText="1"/>
    </xf>
    <xf numFmtId="49" fontId="0" fillId="0" borderId="10" applyAlignment="1" pivotButton="0" quotePrefix="0" xfId="0">
      <alignment wrapText="1"/>
    </xf>
    <xf numFmtId="49" fontId="2" fillId="0" borderId="10" applyAlignment="1" pivotButton="0" quotePrefix="0" xfId="0">
      <alignment wrapText="1"/>
    </xf>
    <xf numFmtId="3" fontId="4" fillId="0" borderId="10" applyAlignment="1" pivotButton="0" quotePrefix="0" xfId="0">
      <alignment wrapText="1"/>
    </xf>
    <xf numFmtId="164" fontId="4" fillId="0" borderId="1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26" customWidth="1" style="1" min="1" max="1"/>
    <col width="18" customWidth="1" style="1" min="2" max="2"/>
    <col width="18" customWidth="1" style="1" min="3" max="3"/>
    <col width="16" customWidth="1" style="1" min="4" max="4"/>
    <col width="64" customWidth="1" style="1" min="5" max="5"/>
    <col width="10" customWidth="1" style="1" min="6" max="6"/>
    <col width="10" customWidth="1" style="1" min="7" max="7"/>
    <col width="10" customWidth="1" style="1" min="8" max="8"/>
  </cols>
  <sheetData>
    <row r="1" ht="18" customHeight="1" s="1">
      <c r="A1" s="38" t="inlineStr">
        <is>
          <t>Повторяемый спрос: почему он сильнее разового промо-спроса</t>
        </is>
      </c>
      <c r="B1" s="39" t="n"/>
      <c r="C1" s="39" t="n"/>
      <c r="D1" s="39" t="n"/>
      <c r="E1" s="39" t="n"/>
      <c r="F1" s="39" t="n"/>
      <c r="G1" s="39" t="n"/>
      <c r="H1" s="40" t="n"/>
    </row>
    <row r="2"/>
    <row r="3" ht="15" customHeight="1" s="1">
      <c r="A3" s="7" t="inlineStr">
        <is>
          <t>Смысл примера</t>
        </is>
      </c>
      <c r="B3" s="41" t="inlineStr">
        <is>
          <t>Компания X выпускает бытовую химию. Традиционный сценарий продает первую покупку через скидку и промо. Сценарий Повторяемого спроса продает бытовой ритуал: регулярное пополнение, наборы по сценам уборки, CRM-возврат и снижение зависимости от скидки.</t>
        </is>
      </c>
      <c r="C3" s="42" t="n"/>
      <c r="D3" s="42" t="n"/>
      <c r="E3" s="42" t="n"/>
      <c r="F3" s="42" t="n"/>
      <c r="G3" s="42" t="n"/>
      <c r="H3" s="43" t="n"/>
    </row>
    <row r="4" ht="15" customHeight="1" s="1">
      <c r="A4" s="10" t="n"/>
      <c r="B4" s="44" t="n"/>
      <c r="C4" s="44" t="n"/>
      <c r="D4" s="44" t="n"/>
      <c r="E4" s="44" t="n"/>
      <c r="F4" s="44" t="n"/>
      <c r="G4" s="44" t="n"/>
      <c r="H4" s="45" t="n"/>
    </row>
    <row r="5"/>
    <row r="6" ht="26.39999961853027" customHeight="1" s="1">
      <c r="A6" s="19" t="inlineStr">
        <is>
          <t>Метрика</t>
        </is>
      </c>
      <c r="B6" s="19" t="inlineStr">
        <is>
          <t>Разовый промо-спрос</t>
        </is>
      </c>
      <c r="C6" s="19" t="inlineStr">
        <is>
          <t>Повторяемый спрос</t>
        </is>
      </c>
      <c r="D6" s="19" t="inlineStr">
        <is>
          <t>Разница</t>
        </is>
      </c>
      <c r="E6" s="19" t="inlineStr">
        <is>
          <t>Что видит собственник</t>
        </is>
      </c>
    </row>
    <row r="7" ht="26.39999961853027" customHeight="1" s="1">
      <c r="A7" s="32" t="inlineStr">
        <is>
          <t>Первые покупатели</t>
        </is>
      </c>
      <c r="B7" s="46">
        <f>'P&amp;L сравнение'!B6</f>
        <v/>
      </c>
      <c r="C7" s="46">
        <f>'P&amp;L сравнение'!C6</f>
        <v/>
      </c>
      <c r="D7" s="46">
        <f>C7-B7</f>
        <v/>
      </c>
      <c r="E7" s="32" t="inlineStr">
        <is>
          <t>Повторяемый спрос может стартовать с меньшего охвата, но не обязан проигрывать экономику.</t>
        </is>
      </c>
    </row>
    <row r="8" ht="15" customHeight="1" s="1">
      <c r="A8" s="32" t="inlineStr">
        <is>
          <t>Повторные покупатели</t>
        </is>
      </c>
      <c r="B8" s="46">
        <f>'P&amp;L сравнение'!B10</f>
        <v/>
      </c>
      <c r="C8" s="46">
        <f>'P&amp;L сравнение'!C10</f>
        <v/>
      </c>
      <c r="D8" s="46">
        <f>C8-B8</f>
        <v/>
      </c>
      <c r="E8" s="32" t="inlineStr">
        <is>
          <t>Главный источник денег - не первая акция, а возврат клиента.</t>
        </is>
      </c>
    </row>
    <row r="9" ht="26.39999961853027" customHeight="1" s="1">
      <c r="A9" s="32" t="inlineStr">
        <is>
          <t>Повторная покупка</t>
        </is>
      </c>
      <c r="B9" s="47">
        <f>'P&amp;L сравнение'!B9</f>
        <v/>
      </c>
      <c r="C9" s="47">
        <f>'P&amp;L сравнение'!C9</f>
        <v/>
      </c>
      <c r="D9" s="47">
        <f>C9-B9</f>
        <v/>
      </c>
      <c r="E9" s="32" t="inlineStr">
        <is>
          <t>Повторяемость превращает бытовую химию из покупки по скидке в регулярный ритуал.</t>
        </is>
      </c>
    </row>
    <row r="10" ht="15" customHeight="1" s="1">
      <c r="A10" s="32" t="inlineStr">
        <is>
          <t>Выручка</t>
        </is>
      </c>
      <c r="B10" s="46">
        <f>'P&amp;L сравнение'!B15</f>
        <v/>
      </c>
      <c r="C10" s="46">
        <f>'P&amp;L сравнение'!C15</f>
        <v/>
      </c>
      <c r="D10" s="46">
        <f>C10-B10</f>
        <v/>
      </c>
      <c r="E10" s="32" t="inlineStr">
        <is>
          <t>Выручка почти удваивается за счет повторов, а не за счет давления на скидку.</t>
        </is>
      </c>
    </row>
    <row r="11" ht="15" customHeight="1" s="1">
      <c r="A11" s="32" t="inlineStr">
        <is>
          <t>Валовая прибыль</t>
        </is>
      </c>
      <c r="B11" s="46">
        <f>'P&amp;L сравнение'!B20</f>
        <v/>
      </c>
      <c r="C11" s="46">
        <f>'P&amp;L сравнение'!C20</f>
        <v/>
      </c>
      <c r="D11" s="46">
        <f>C11-B11</f>
        <v/>
      </c>
      <c r="E11" s="32" t="inlineStr">
        <is>
          <t>Валовая прибыль растет быстрее выручки, потому что меньше скидка.</t>
        </is>
      </c>
    </row>
    <row r="12" ht="26.39999961853027" customHeight="1" s="1">
      <c r="A12" s="32" t="inlineStr">
        <is>
          <t>Коммерческие затраты</t>
        </is>
      </c>
      <c r="B12" s="46">
        <f>'P&amp;L сравнение'!B26</f>
        <v/>
      </c>
      <c r="C12" s="46">
        <f>'P&amp;L сравнение'!C26</f>
        <v/>
      </c>
      <c r="D12" s="46">
        <f>C12-B12</f>
        <v/>
      </c>
      <c r="E12" s="32" t="inlineStr">
        <is>
          <t>Затраты становятся инвестициями в возврат, а не платой за одноразовый промо-всплеск.</t>
        </is>
      </c>
    </row>
    <row r="13" ht="26.39999961853027" customHeight="1" s="1">
      <c r="A13" s="32" t="inlineStr">
        <is>
          <t>Contribution profit, вклад в прибыль</t>
        </is>
      </c>
      <c r="B13" s="46">
        <f>'P&amp;L сравнение'!B27</f>
        <v/>
      </c>
      <c r="C13" s="46">
        <f>'P&amp;L сравнение'!C27</f>
        <v/>
      </c>
      <c r="D13" s="46">
        <f>C13-B13</f>
        <v/>
      </c>
      <c r="E13" s="32" t="inlineStr">
        <is>
          <t>Разница в прибыли показывает цену слабого спроса.</t>
        </is>
      </c>
    </row>
    <row r="14" ht="26.39999961853027" customHeight="1" s="1">
      <c r="A14" s="32" t="inlineStr">
        <is>
          <t>Contribution margin, маржинальность вклада</t>
        </is>
      </c>
      <c r="B14" s="47">
        <f>'P&amp;L сравнение'!B28</f>
        <v/>
      </c>
      <c r="C14" s="47">
        <f>'P&amp;L сравнение'!C28</f>
        <v/>
      </c>
      <c r="D14" s="47">
        <f>C14-B14</f>
        <v/>
      </c>
      <c r="E14" s="32" t="inlineStr">
        <is>
          <t>Собственник видит не красивую коммуникацию, а экономику повторения.</t>
        </is>
      </c>
    </row>
    <row r="15"/>
    <row r="16"/>
    <row r="17" ht="15" customHeight="1" s="1">
      <c r="A17" s="7" t="inlineStr">
        <is>
          <t>Короткий управленческий вывод</t>
        </is>
      </c>
      <c r="B17" s="41" t="inlineStr">
        <is>
          <t>Разовый промо-спрос покупает первую продажу и оставляет компанию с тонкой маржей. Повторяемый спрос строит причину вернуться: мотив, сцену уборки, ритуал пополнения и CRM-возврат. В примере компания получает не просто больше выручки, а в 10+ раз больший вклад в прибыль до фиксированных расходов.</t>
        </is>
      </c>
      <c r="C17" s="42" t="n"/>
      <c r="D17" s="42" t="n"/>
      <c r="E17" s="42" t="n"/>
      <c r="F17" s="42" t="n"/>
      <c r="G17" s="42" t="n"/>
      <c r="H17" s="43" t="n"/>
    </row>
    <row r="18" ht="15" customHeight="1" s="1">
      <c r="A18" s="10" t="n"/>
      <c r="B18" s="44" t="n"/>
      <c r="C18" s="44" t="n"/>
      <c r="D18" s="44" t="n"/>
      <c r="E18" s="44" t="n"/>
      <c r="F18" s="44" t="n"/>
      <c r="G18" s="44" t="n"/>
      <c r="H18" s="45" t="n"/>
    </row>
  </sheetData>
  <mergeCells count="3">
    <mergeCell ref="A1:H1"/>
    <mergeCell ref="B3:H4"/>
    <mergeCell ref="B17:H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22" customWidth="1" style="1" min="2" max="2"/>
    <col width="22" customWidth="1" style="1" min="3" max="3"/>
    <col width="16" customWidth="1" style="1" min="4" max="4"/>
    <col width="62" customWidth="1" style="1" min="5" max="5"/>
  </cols>
  <sheetData>
    <row r="1" ht="18" customHeight="1" s="1">
      <c r="A1" s="38" t="inlineStr">
        <is>
          <t>Допущения модели: Компания X, бытовая химия</t>
        </is>
      </c>
      <c r="B1" s="39" t="n"/>
      <c r="C1" s="39" t="n"/>
      <c r="D1" s="39" t="n"/>
      <c r="E1" s="40" t="n"/>
    </row>
    <row r="2"/>
    <row r="3" ht="15" customHeight="1" s="1">
      <c r="A3" s="19" t="inlineStr">
        <is>
          <t>Показатель</t>
        </is>
      </c>
      <c r="B3" s="19" t="inlineStr">
        <is>
          <t>Разовый промо-спрос</t>
        </is>
      </c>
      <c r="C3" s="19" t="inlineStr">
        <is>
          <t>Повторяемый спрос</t>
        </is>
      </c>
      <c r="D3" s="19" t="inlineStr">
        <is>
          <t>Ед.</t>
        </is>
      </c>
      <c r="E3" s="19" t="inlineStr">
        <is>
          <t>Комментарий</t>
        </is>
      </c>
    </row>
    <row r="4" ht="15" customHeight="1" s="1">
      <c r="A4" s="32" t="inlineStr">
        <is>
          <t>Первые покупатели</t>
        </is>
      </c>
      <c r="B4" s="46" t="n">
        <v>100000</v>
      </c>
      <c r="C4" s="46" t="n">
        <v>85000</v>
      </c>
      <c r="D4" s="32" t="inlineStr">
        <is>
          <t>чел.</t>
        </is>
      </c>
      <c r="E4" s="32" t="inlineStr">
        <is>
          <t>Промо дает больше первого охвата; повторяемый спрос стартует осторожнее.</t>
        </is>
      </c>
    </row>
    <row r="5" ht="26.39999961853027" customHeight="1" s="1">
      <c r="A5" s="32" t="inlineStr">
        <is>
          <t>Цена первой покупки</t>
        </is>
      </c>
      <c r="B5" s="46" t="n">
        <v>180</v>
      </c>
      <c r="C5" s="46" t="n">
        <v>220</v>
      </c>
      <c r="D5" s="32" t="inlineStr">
        <is>
          <t>руб.</t>
        </is>
      </c>
      <c r="E5" s="32" t="inlineStr">
        <is>
          <t>Промо-сценарий продает через скидку; повторяемый спрос допускает мягкий вход.</t>
        </is>
      </c>
    </row>
    <row r="6" ht="15" customHeight="1" s="1">
      <c r="A6" s="32" t="inlineStr">
        <is>
          <t>Себестоимость единицы</t>
        </is>
      </c>
      <c r="B6" s="46" t="n">
        <v>95</v>
      </c>
      <c r="C6" s="46" t="n">
        <v>95</v>
      </c>
      <c r="D6" s="32" t="inlineStr">
        <is>
          <t>руб.</t>
        </is>
      </c>
      <c r="E6" s="32" t="inlineStr">
        <is>
          <t>Одинаковая продуктовая себестоимость.</t>
        </is>
      </c>
    </row>
    <row r="7" ht="15" customHeight="1" s="1">
      <c r="A7" s="32" t="inlineStr">
        <is>
          <t>Логистика и выполнение</t>
        </is>
      </c>
      <c r="B7" s="46" t="n">
        <v>18</v>
      </c>
      <c r="C7" s="46" t="n">
        <v>18</v>
      </c>
      <c r="D7" s="32" t="inlineStr">
        <is>
          <t>руб./ед.</t>
        </is>
      </c>
      <c r="E7" s="32" t="inlineStr">
        <is>
          <t>Одинаковая операционная стоимость.</t>
        </is>
      </c>
    </row>
    <row r="8" ht="15" customHeight="1" s="1">
      <c r="A8" s="32" t="inlineStr">
        <is>
          <t>Повторная покупка</t>
        </is>
      </c>
      <c r="B8" s="47" t="n">
        <v>0.18</v>
      </c>
      <c r="C8" s="47" t="n">
        <v>0.48</v>
      </c>
      <c r="D8" s="32" t="inlineStr">
        <is>
          <t>%</t>
        </is>
      </c>
      <c r="E8" s="32" t="inlineStr">
        <is>
          <t>Ритуал и CRM увеличивают долю клиентов, которые возвращаются.</t>
        </is>
      </c>
    </row>
    <row r="9" ht="15" customHeight="1" s="1">
      <c r="A9" s="32" t="inlineStr">
        <is>
          <t>Повторные покупки на повторного клиента</t>
        </is>
      </c>
      <c r="B9" s="48" t="n">
        <v>1.5</v>
      </c>
      <c r="C9" s="48" t="n">
        <v>3</v>
      </c>
      <c r="D9" s="32" t="inlineStr">
        <is>
          <t>ед.</t>
        </is>
      </c>
      <c r="E9" s="32" t="inlineStr">
        <is>
          <t>Повторяемый спрос создает несколько циклов пополнения.</t>
        </is>
      </c>
    </row>
    <row r="10" ht="15" customHeight="1" s="1">
      <c r="A10" s="32" t="inlineStr">
        <is>
          <t>Цена повторной покупки</t>
        </is>
      </c>
      <c r="B10" s="46" t="n">
        <v>230</v>
      </c>
      <c r="C10" s="46" t="n">
        <v>240</v>
      </c>
      <c r="D10" s="32" t="inlineStr">
        <is>
          <t>руб.</t>
        </is>
      </c>
      <c r="E10" s="32" t="inlineStr">
        <is>
          <t>Повторные покупки меньше зависят от скидки.</t>
        </is>
      </c>
    </row>
    <row r="11" ht="26.39999961853027" customHeight="1" s="1">
      <c r="A11" s="32" t="inlineStr">
        <is>
          <t>Trade promo, торговое промо на первую покупку</t>
        </is>
      </c>
      <c r="B11" s="46" t="n">
        <v>35</v>
      </c>
      <c r="C11" s="46" t="n">
        <v>12</v>
      </c>
      <c r="D11" s="32" t="inlineStr">
        <is>
          <t>руб./первый покупатель</t>
        </is>
      </c>
      <c r="E11" s="32" t="inlineStr">
        <is>
          <t>Промо-сценарий субсидирует первую продажу.</t>
        </is>
      </c>
    </row>
    <row r="12" ht="26.39999961853027" customHeight="1" s="1">
      <c r="A12" s="32" t="inlineStr">
        <is>
          <t>Media CAC, медийная стоимость привлечения</t>
        </is>
      </c>
      <c r="B12" s="46" t="n">
        <v>45</v>
      </c>
      <c r="C12" s="46" t="n">
        <v>35</v>
      </c>
      <c r="D12" s="32" t="inlineStr">
        <is>
          <t>руб./первый покупатель</t>
        </is>
      </c>
      <c r="E12" s="32" t="inlineStr">
        <is>
          <t>Повторяемый спрос меньше зависит от дорогого перезапуска охвата.</t>
        </is>
      </c>
    </row>
    <row r="13" ht="26.39999961853027" customHeight="1" s="1">
      <c r="A13" s="32" t="inlineStr">
        <is>
          <t>CRM / ritual cost, стоимость поддержки ритуала</t>
        </is>
      </c>
      <c r="B13" s="46" t="n">
        <v>4</v>
      </c>
      <c r="C13" s="46" t="n">
        <v>18</v>
      </c>
      <c r="D13" s="32" t="inlineStr">
        <is>
          <t>руб./первый покупатель</t>
        </is>
      </c>
      <c r="E13" s="32" t="inlineStr">
        <is>
          <t>В повторяемом спросе появляются расходы на CRM, наборы, контент ритуала.</t>
        </is>
      </c>
    </row>
    <row r="14" ht="15" customHeight="1" s="1">
      <c r="A14" s="32" t="inlineStr">
        <is>
          <t>Фиксированные маркетинговые расходы</t>
        </is>
      </c>
      <c r="B14" s="46" t="n">
        <v>1200000</v>
      </c>
      <c r="C14" s="46" t="n">
        <v>1500000</v>
      </c>
      <c r="D14" s="32" t="inlineStr">
        <is>
          <t>руб.</t>
        </is>
      </c>
      <c r="E14" s="32" t="inlineStr">
        <is>
          <t>Команда, аналитика, контентная система, бренд-материалы.</t>
        </is>
      </c>
    </row>
    <row r="15" ht="15" customHeight="1" s="1">
      <c r="A15" s="32" t="inlineStr">
        <is>
          <t>Период модели</t>
        </is>
      </c>
      <c r="B15" s="49" t="n">
        <v>12</v>
      </c>
      <c r="C15" s="49" t="n">
        <v>12</v>
      </c>
      <c r="D15" s="32" t="inlineStr">
        <is>
          <t>мес.</t>
        </is>
      </c>
      <c r="E15" s="32" t="inlineStr">
        <is>
          <t>Управленческий пример за год.</t>
        </is>
      </c>
    </row>
    <row r="16" ht="15" customHeight="1" s="1">
      <c r="A16" s="32" t="inlineStr">
        <is>
          <t>Название сценария 1</t>
        </is>
      </c>
      <c r="B16" s="50" t="inlineStr">
        <is>
          <t>Разовый промо-спрос</t>
        </is>
      </c>
      <c r="C16" s="50" t="str"/>
      <c r="D16" s="32" t="str"/>
      <c r="E16" s="32" t="str"/>
    </row>
    <row r="17" ht="15" customHeight="1" s="1">
      <c r="A17" s="32" t="inlineStr">
        <is>
          <t>Название сценария 2</t>
        </is>
      </c>
      <c r="B17" s="50" t="str"/>
      <c r="C17" s="50" t="inlineStr">
        <is>
          <t>Повторяемый спрос</t>
        </is>
      </c>
      <c r="D17" s="32" t="str"/>
      <c r="E17" s="32" t="str"/>
    </row>
    <row r="18" ht="39.59999847412109" customHeight="1" s="1">
      <c r="A18" s="32" t="inlineStr">
        <is>
          <t>Технология</t>
        </is>
      </c>
      <c r="B18" s="50" t="str"/>
      <c r="C18" s="50" t="inlineStr">
        <is>
          <t>Повторяемый спрос, технология Повторяемого спроса</t>
        </is>
      </c>
      <c r="D18" s="32" t="str"/>
      <c r="E18" s="32" t="str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"/>
  <sheetViews>
    <sheetView showGridLines="0" workbookViewId="0">
      <selection activeCell="A1" sqref="A1"/>
    </sheetView>
  </sheetViews>
  <sheetFormatPr baseColWidth="8" defaultRowHeight="15"/>
  <cols>
    <col width="42" customWidth="1" style="1" min="1" max="1"/>
    <col width="22" customWidth="1" style="1" min="2" max="2"/>
    <col width="22" customWidth="1" style="1" min="3" max="3"/>
    <col width="22" customWidth="1" style="1" min="4" max="4"/>
  </cols>
  <sheetData>
    <row r="1" ht="18" customHeight="1" s="1">
      <c r="A1" s="38" t="inlineStr">
        <is>
          <t>Управленческая P&amp;L: разовый промо-спрос vs Повторяемый спрос</t>
        </is>
      </c>
      <c r="B1" s="39" t="n"/>
      <c r="C1" s="39" t="n"/>
      <c r="D1" s="40" t="n"/>
    </row>
    <row r="2"/>
    <row r="3" ht="15" customHeight="1" s="1">
      <c r="A3" s="19" t="inlineStr">
        <is>
          <t>Строка P&amp;L</t>
        </is>
      </c>
      <c r="B3" s="19" t="inlineStr">
        <is>
          <t>Разовый промо-спрос</t>
        </is>
      </c>
      <c r="C3" s="19" t="inlineStr">
        <is>
          <t>Повторяемый спрос</t>
        </is>
      </c>
      <c r="D3" s="19" t="inlineStr">
        <is>
          <t>Разница</t>
        </is>
      </c>
    </row>
    <row r="4" ht="15" customHeight="1" s="1">
      <c r="A4" s="32" t="n"/>
      <c r="B4" s="32" t="n"/>
      <c r="C4" s="32" t="n"/>
      <c r="D4" s="32" t="n"/>
    </row>
    <row r="5" ht="15" customHeight="1" s="1">
      <c r="A5" s="33" t="inlineStr">
        <is>
          <t>ДРАЙВЕРЫ</t>
        </is>
      </c>
      <c r="B5" s="33" t="n"/>
      <c r="C5" s="33" t="n"/>
      <c r="D5" s="33" t="n"/>
    </row>
    <row r="6" ht="15" customHeight="1" s="1">
      <c r="A6" s="32" t="inlineStr">
        <is>
          <t>Первые покупатели</t>
        </is>
      </c>
      <c r="B6" s="46">
        <f>'Допущения'!B4</f>
        <v/>
      </c>
      <c r="C6" s="46">
        <f>'Допущения'!C4</f>
        <v/>
      </c>
      <c r="D6" s="46">
        <f>C6-B6</f>
        <v/>
      </c>
    </row>
    <row r="7" ht="15" customHeight="1" s="1">
      <c r="A7" s="32" t="inlineStr">
        <is>
          <t>Цена первой покупки</t>
        </is>
      </c>
      <c r="B7" s="46">
        <f>'Допущения'!B5</f>
        <v/>
      </c>
      <c r="C7" s="46">
        <f>'Допущения'!C5</f>
        <v/>
      </c>
      <c r="D7" s="46">
        <f>C7-B7</f>
        <v/>
      </c>
    </row>
    <row r="8" ht="15" customHeight="1" s="1">
      <c r="A8" s="32" t="inlineStr">
        <is>
          <t>Выручка первой покупки</t>
        </is>
      </c>
      <c r="B8" s="46">
        <f>B6*B7</f>
        <v/>
      </c>
      <c r="C8" s="46">
        <f>C6*C7</f>
        <v/>
      </c>
      <c r="D8" s="46">
        <f>C8-B8</f>
        <v/>
      </c>
    </row>
    <row r="9" ht="15" customHeight="1" s="1">
      <c r="A9" s="32" t="inlineStr">
        <is>
          <t>Повторная покупка</t>
        </is>
      </c>
      <c r="B9" s="47">
        <f>'Допущения'!B8</f>
        <v/>
      </c>
      <c r="C9" s="47">
        <f>'Допущения'!C8</f>
        <v/>
      </c>
      <c r="D9" s="47">
        <f>C9-B9</f>
        <v/>
      </c>
    </row>
    <row r="10" ht="15" customHeight="1" s="1">
      <c r="A10" s="32" t="inlineStr">
        <is>
          <t>Повторные покупатели</t>
        </is>
      </c>
      <c r="B10" s="46">
        <f>B6*B9</f>
        <v/>
      </c>
      <c r="C10" s="46">
        <f>C6*C9</f>
        <v/>
      </c>
      <c r="D10" s="46">
        <f>C10-B10</f>
        <v/>
      </c>
    </row>
    <row r="11" ht="15" customHeight="1" s="1">
      <c r="A11" s="32" t="inlineStr">
        <is>
          <t>Повторные покупки на повторного клиента</t>
        </is>
      </c>
      <c r="B11" s="48">
        <f>'Допущения'!B9</f>
        <v/>
      </c>
      <c r="C11" s="48">
        <f>'Допущения'!C9</f>
        <v/>
      </c>
      <c r="D11" s="48">
        <f>C11-B11</f>
        <v/>
      </c>
    </row>
    <row r="12" ht="15" customHeight="1" s="1">
      <c r="A12" s="32" t="inlineStr">
        <is>
          <t>Повторные единицы</t>
        </is>
      </c>
      <c r="B12" s="46">
        <f>B10*B11</f>
        <v/>
      </c>
      <c r="C12" s="46">
        <f>C10*C11</f>
        <v/>
      </c>
      <c r="D12" s="46">
        <f>C12-B12</f>
        <v/>
      </c>
    </row>
    <row r="13" ht="15" customHeight="1" s="1">
      <c r="A13" s="32" t="inlineStr">
        <is>
          <t>Цена повторной покупки</t>
        </is>
      </c>
      <c r="B13" s="46">
        <f>'Допущения'!B10</f>
        <v/>
      </c>
      <c r="C13" s="46">
        <f>'Допущения'!C10</f>
        <v/>
      </c>
      <c r="D13" s="46">
        <f>C13-B13</f>
        <v/>
      </c>
    </row>
    <row r="14" ht="15" customHeight="1" s="1">
      <c r="A14" s="32" t="inlineStr">
        <is>
          <t>Выручка повторной покупки</t>
        </is>
      </c>
      <c r="B14" s="46">
        <f>B12*B13</f>
        <v/>
      </c>
      <c r="C14" s="46">
        <f>C12*C13</f>
        <v/>
      </c>
      <c r="D14" s="46">
        <f>C14-B14</f>
        <v/>
      </c>
    </row>
    <row r="15" ht="15" customHeight="1" s="1">
      <c r="A15" s="32" t="inlineStr">
        <is>
          <t>Итого выручка</t>
        </is>
      </c>
      <c r="B15" s="46">
        <f>B8+B14</f>
        <v/>
      </c>
      <c r="C15" s="46">
        <f>C8+C14</f>
        <v/>
      </c>
      <c r="D15" s="46">
        <f>C15-B15</f>
        <v/>
      </c>
    </row>
    <row r="16" ht="15" customHeight="1" s="1">
      <c r="A16" s="33" t="inlineStr">
        <is>
          <t>ПЕРЕМЕННЫЕ ЗАТРАТЫ</t>
        </is>
      </c>
      <c r="B16" s="51" t="n"/>
      <c r="C16" s="51" t="n"/>
      <c r="D16" s="51" t="n">
        <v>0</v>
      </c>
    </row>
    <row r="17" ht="15" customHeight="1" s="1">
      <c r="A17" s="32" t="inlineStr">
        <is>
          <t>Всего единиц</t>
        </is>
      </c>
      <c r="B17" s="46">
        <f>B6+B12</f>
        <v/>
      </c>
      <c r="C17" s="46">
        <f>C6+C12</f>
        <v/>
      </c>
      <c r="D17" s="46">
        <f>C17-B17</f>
        <v/>
      </c>
    </row>
    <row r="18" ht="15" customHeight="1" s="1">
      <c r="A18" s="32" t="inlineStr">
        <is>
          <t>Себестоимость</t>
        </is>
      </c>
      <c r="B18" s="46">
        <f>B17*'Допущения'!B6</f>
        <v/>
      </c>
      <c r="C18" s="46">
        <f>C17*'Допущения'!C6</f>
        <v/>
      </c>
      <c r="D18" s="46">
        <f>C18-B18</f>
        <v/>
      </c>
    </row>
    <row r="19" ht="15" customHeight="1" s="1">
      <c r="A19" s="32" t="inlineStr">
        <is>
          <t>Логистика</t>
        </is>
      </c>
      <c r="B19" s="46">
        <f>B17*'Допущения'!B7</f>
        <v/>
      </c>
      <c r="C19" s="46">
        <f>C17*'Допущения'!C7</f>
        <v/>
      </c>
      <c r="D19" s="46">
        <f>C19-B19</f>
        <v/>
      </c>
    </row>
    <row r="20" ht="15" customHeight="1" s="1">
      <c r="A20" s="32" t="inlineStr">
        <is>
          <t>Валовая прибыль</t>
        </is>
      </c>
      <c r="B20" s="46">
        <f>B15-B18-B19</f>
        <v/>
      </c>
      <c r="C20" s="46">
        <f>C15-C18-C19</f>
        <v/>
      </c>
      <c r="D20" s="46">
        <f>C20-B20</f>
        <v/>
      </c>
    </row>
    <row r="21" ht="15" customHeight="1" s="1">
      <c r="A21" s="32" t="inlineStr">
        <is>
          <t>Валовая маржа</t>
        </is>
      </c>
      <c r="B21" s="47">
        <f>B20/B15</f>
        <v/>
      </c>
      <c r="C21" s="47">
        <f>C20/C15</f>
        <v/>
      </c>
      <c r="D21" s="47">
        <f>C21-B21</f>
        <v/>
      </c>
    </row>
    <row r="22" ht="15" customHeight="1" s="1">
      <c r="A22" s="33" t="inlineStr">
        <is>
          <t>КОММЕРЧЕСКИЕ ЗАТРАТЫ</t>
        </is>
      </c>
      <c r="B22" s="51" t="n"/>
      <c r="C22" s="51" t="n"/>
      <c r="D22" s="51" t="n">
        <v>0</v>
      </c>
    </row>
    <row r="23" ht="15" customHeight="1" s="1">
      <c r="A23" s="32" t="inlineStr">
        <is>
          <t>Trade promo</t>
        </is>
      </c>
      <c r="B23" s="46">
        <f>B6*'Допущения'!B11</f>
        <v/>
      </c>
      <c r="C23" s="46">
        <f>C6*'Допущения'!C11</f>
        <v/>
      </c>
      <c r="D23" s="46">
        <f>C23-B23</f>
        <v/>
      </c>
    </row>
    <row r="24" ht="15" customHeight="1" s="1">
      <c r="A24" s="32" t="inlineStr">
        <is>
          <t>Media CAC</t>
        </is>
      </c>
      <c r="B24" s="46">
        <f>B6*'Допущения'!B12</f>
        <v/>
      </c>
      <c r="C24" s="46">
        <f>C6*'Допущения'!C12</f>
        <v/>
      </c>
      <c r="D24" s="46">
        <f>C24-B24</f>
        <v/>
      </c>
    </row>
    <row r="25" ht="15" customHeight="1" s="1">
      <c r="A25" s="32" t="inlineStr">
        <is>
          <t>CRM / ritual cost</t>
        </is>
      </c>
      <c r="B25" s="46">
        <f>B6*'Допущения'!B13</f>
        <v/>
      </c>
      <c r="C25" s="46">
        <f>C6*'Допущения'!C13</f>
        <v/>
      </c>
      <c r="D25" s="46">
        <f>C25-B25</f>
        <v/>
      </c>
    </row>
    <row r="26" ht="15" customHeight="1" s="1">
      <c r="A26" s="32" t="inlineStr">
        <is>
          <t>Итого коммерческие затраты</t>
        </is>
      </c>
      <c r="B26" s="46">
        <f>SUM(B23:B25)</f>
        <v/>
      </c>
      <c r="C26" s="46">
        <f>SUM(C23:C25)</f>
        <v/>
      </c>
      <c r="D26" s="46">
        <f>C26-B26</f>
        <v/>
      </c>
    </row>
    <row r="27" ht="15" customHeight="1" s="1">
      <c r="A27" s="35" t="inlineStr">
        <is>
          <t>Contribution profit</t>
        </is>
      </c>
      <c r="B27" s="52">
        <f>B20-B26</f>
        <v/>
      </c>
      <c r="C27" s="52">
        <f>C20-C26</f>
        <v/>
      </c>
      <c r="D27" s="52">
        <f>C27-B27</f>
        <v/>
      </c>
    </row>
    <row r="28" ht="15" customHeight="1" s="1">
      <c r="A28" s="35" t="inlineStr">
        <is>
          <t>Contribution margin</t>
        </is>
      </c>
      <c r="B28" s="53">
        <f>B27/B15</f>
        <v/>
      </c>
      <c r="C28" s="53">
        <f>C27/C15</f>
        <v/>
      </c>
      <c r="D28" s="53">
        <f>C28-B28</f>
        <v/>
      </c>
    </row>
    <row r="29" ht="15" customHeight="1" s="1">
      <c r="A29" s="35" t="inlineStr">
        <is>
          <t>Фиксированные маркетинговые расходы</t>
        </is>
      </c>
      <c r="B29" s="52">
        <f>'Допущения'!B14</f>
        <v/>
      </c>
      <c r="C29" s="52">
        <f>'Допущения'!C14</f>
        <v/>
      </c>
      <c r="D29" s="52">
        <f>C29-B29</f>
        <v/>
      </c>
    </row>
    <row r="30" ht="15" customHeight="1" s="1">
      <c r="A30" s="35" t="inlineStr">
        <is>
          <t>Operating profit до общих overhead</t>
        </is>
      </c>
      <c r="B30" s="52">
        <f>B27-B29</f>
        <v/>
      </c>
      <c r="C30" s="52">
        <f>C27-C29</f>
        <v/>
      </c>
      <c r="D30" s="52">
        <f>C30-B30</f>
        <v/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style="1" min="1" max="1"/>
    <col width="22" customWidth="1" style="1" min="2" max="2"/>
    <col width="22" customWidth="1" style="1" min="3" max="3"/>
    <col width="18" customWidth="1" style="1" min="4" max="4"/>
    <col width="58" customWidth="1" style="1" min="5" max="5"/>
  </cols>
  <sheetData>
    <row r="1" ht="18" customHeight="1" s="1">
      <c r="A1" s="38" t="inlineStr">
        <is>
          <t>Воронка спроса: где появляется экономика повторения</t>
        </is>
      </c>
      <c r="B1" s="39" t="n"/>
      <c r="C1" s="39" t="n"/>
      <c r="D1" s="39" t="n"/>
      <c r="E1" s="40" t="n"/>
    </row>
    <row r="2"/>
    <row r="3" ht="15" customHeight="1" s="1">
      <c r="A3" s="19" t="inlineStr">
        <is>
          <t>Этап</t>
        </is>
      </c>
      <c r="B3" s="19" t="inlineStr">
        <is>
          <t>Разовый промо-спрос</t>
        </is>
      </c>
      <c r="C3" s="19" t="inlineStr">
        <is>
          <t>Повторяемый спрос</t>
        </is>
      </c>
      <c r="D3" s="19" t="inlineStr">
        <is>
          <t>Разница</t>
        </is>
      </c>
      <c r="E3" s="19" t="inlineStr">
        <is>
          <t>Управленческий смысл</t>
        </is>
      </c>
    </row>
    <row r="4" ht="15" customHeight="1" s="1">
      <c r="A4" s="32" t="inlineStr">
        <is>
          <t>1. Первый вход</t>
        </is>
      </c>
      <c r="B4" s="46">
        <f>'P&amp;L сравнение'!B6</f>
        <v/>
      </c>
      <c r="C4" s="46">
        <f>'P&amp;L сравнение'!C6</f>
        <v/>
      </c>
      <c r="D4" s="46">
        <f>C4-B4</f>
        <v/>
      </c>
      <c r="E4" s="32" t="inlineStr">
        <is>
          <t>Промо покупает больший первый вход, но это еще не бизнес-результат.</t>
        </is>
      </c>
    </row>
    <row r="5" ht="15" customHeight="1" s="1">
      <c r="A5" s="32" t="inlineStr">
        <is>
          <t>2. Цена входа</t>
        </is>
      </c>
      <c r="B5" s="46">
        <f>'P&amp;L сравнение'!B7</f>
        <v/>
      </c>
      <c r="C5" s="46">
        <f>'P&amp;L сравнение'!C7</f>
        <v/>
      </c>
      <c r="D5" s="46">
        <f>C5-B5</f>
        <v/>
      </c>
      <c r="E5" s="32" t="inlineStr">
        <is>
          <t>Скидка снижает ценность первой продажи.</t>
        </is>
      </c>
    </row>
    <row r="6" ht="15" customHeight="1" s="1">
      <c r="A6" s="32" t="inlineStr">
        <is>
          <t>3. Доля повтора</t>
        </is>
      </c>
      <c r="B6" s="47">
        <f>'P&amp;L сравнение'!B9</f>
        <v/>
      </c>
      <c r="C6" s="47">
        <f>'P&amp;L сравнение'!C9</f>
        <v/>
      </c>
      <c r="D6" s="47">
        <f>C6-B6</f>
        <v/>
      </c>
      <c r="E6" s="32" t="inlineStr">
        <is>
          <t>Главная точка технологии: вернуть клиента через мотив, сцену и ритуал.</t>
        </is>
      </c>
    </row>
    <row r="7" ht="15" customHeight="1" s="1">
      <c r="A7" s="32" t="inlineStr">
        <is>
          <t>4. Повторные покупатели</t>
        </is>
      </c>
      <c r="B7" s="46">
        <f>'P&amp;L сравнение'!B10</f>
        <v/>
      </c>
      <c r="C7" s="46">
        <f>'P&amp;L сравнение'!C10</f>
        <v/>
      </c>
      <c r="D7" s="46">
        <f>C7-B7</f>
        <v/>
      </c>
      <c r="E7" s="32" t="inlineStr">
        <is>
          <t>Рост повторных покупателей меняет всю P&amp;L.</t>
        </is>
      </c>
    </row>
    <row r="8" ht="15" customHeight="1" s="1">
      <c r="A8" s="32" t="inlineStr">
        <is>
          <t>5. Повторные единицы</t>
        </is>
      </c>
      <c r="B8" s="46">
        <f>'P&amp;L сравнение'!B12</f>
        <v/>
      </c>
      <c r="C8" s="46">
        <f>'P&amp;L сравнение'!C12</f>
        <v/>
      </c>
      <c r="D8" s="46">
        <f>C8-B8</f>
        <v/>
      </c>
      <c r="E8" s="32" t="inlineStr">
        <is>
          <t>Появляется регулярный объем без повторной покупки внимания с нуля.</t>
        </is>
      </c>
    </row>
    <row r="9" ht="15" customHeight="1" s="1">
      <c r="A9" s="32" t="inlineStr">
        <is>
          <t>6. Выручка повтора</t>
        </is>
      </c>
      <c r="B9" s="46">
        <f>'P&amp;L сравнение'!B14</f>
        <v/>
      </c>
      <c r="C9" s="46">
        <f>'P&amp;L сравнение'!C14</f>
        <v/>
      </c>
      <c r="D9" s="46">
        <f>C9-B9</f>
        <v/>
      </c>
      <c r="E9" s="32" t="inlineStr">
        <is>
          <t>Повторная выручка создает устойчивость.</t>
        </is>
      </c>
    </row>
    <row r="10" ht="26.39999961853027" customHeight="1" s="1">
      <c r="A10" s="32" t="inlineStr">
        <is>
          <t>7. Вклад в прибыль</t>
        </is>
      </c>
      <c r="B10" s="46">
        <f>'P&amp;L сравнение'!B27</f>
        <v/>
      </c>
      <c r="C10" s="46">
        <f>'P&amp;L сравнение'!C27</f>
        <v/>
      </c>
      <c r="D10" s="46">
        <f>C10-B10</f>
        <v/>
      </c>
      <c r="E10" s="32" t="inlineStr">
        <is>
          <t>Вклад в прибыль показывает, сколько денег остается после прямых коммерческих затрат.</t>
        </is>
      </c>
    </row>
    <row r="11" ht="26.39999961853027" customHeight="1" s="1">
      <c r="A11" s="32" t="inlineStr">
        <is>
          <t>8. Операционная прибыль</t>
        </is>
      </c>
      <c r="B11" s="46">
        <f>'P&amp;L сравнение'!B30</f>
        <v/>
      </c>
      <c r="C11" s="46">
        <f>'P&amp;L сравнение'!C30</f>
        <v/>
      </c>
      <c r="D11" s="46">
        <f>C11-B11</f>
        <v/>
      </c>
      <c r="E11" s="32" t="inlineStr">
        <is>
          <t>Итог для собственника: меньше шума в продажах, больше управляемой прибыли.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0" customWidth="1" style="1" min="1" max="1"/>
    <col width="62" customWidth="1" style="1" min="2" max="2"/>
    <col width="16" customWidth="1" style="1" min="3" max="3"/>
    <col width="28" customWidth="1" style="1" min="4" max="4"/>
  </cols>
  <sheetData>
    <row r="1" ht="18" customHeight="1" s="1">
      <c r="A1" s="38" t="inlineStr">
        <is>
          <t>Checks</t>
        </is>
      </c>
      <c r="B1" s="39" t="n"/>
      <c r="C1" s="39" t="n"/>
      <c r="D1" s="40" t="n"/>
    </row>
    <row r="2"/>
    <row r="3" ht="15" customHeight="1" s="1">
      <c r="A3" s="19" t="inlineStr">
        <is>
          <t>Check</t>
        </is>
      </c>
      <c r="B3" s="19" t="inlineStr">
        <is>
          <t>Formula</t>
        </is>
      </c>
      <c r="C3" s="19" t="inlineStr">
        <is>
          <t>Result</t>
        </is>
      </c>
      <c r="D3" s="19" t="inlineStr">
        <is>
          <t>Notes</t>
        </is>
      </c>
    </row>
    <row r="4" ht="15" customHeight="1" s="1">
      <c r="A4" s="32" t="inlineStr">
        <is>
          <t>Revenue tie</t>
        </is>
      </c>
      <c r="B4" s="32" t="inlineStr">
        <is>
          <t>P&amp;L revenue = first revenue + repeat revenue</t>
        </is>
      </c>
      <c r="C4" s="32">
        <f>IF(ABS('P&amp;L сравнение'!B15-'P&amp;L сравнение'!B8-'P&amp;L сравнение'!B14)+ABS('P&amp;L сравнение'!C15-'P&amp;L сравнение'!C8-'P&amp;L сравнение'!C14)&lt;1,"PASS","FAIL")</f>
        <v/>
      </c>
      <c r="D4" s="32" t="inlineStr">
        <is>
          <t>Both scenarios checked</t>
        </is>
      </c>
    </row>
    <row r="5" ht="15" customHeight="1" s="1">
      <c r="A5" s="32" t="inlineStr">
        <is>
          <t>Gross profit tie</t>
        </is>
      </c>
      <c r="B5" s="32" t="inlineStr">
        <is>
          <t>Gross profit = revenue - COGS - logistics</t>
        </is>
      </c>
      <c r="C5" s="32">
        <f>IF(ABS('P&amp;L сравнение'!B20-('P&amp;L сравнение'!B15-'P&amp;L сравнение'!B18-'P&amp;L сравнение'!B19))+ABS('P&amp;L сравнение'!C20-('P&amp;L сравнение'!C15-'P&amp;L сравнение'!C18-'P&amp;L сравнение'!C19))&lt;1,"PASS","FAIL")</f>
        <v/>
      </c>
      <c r="D5" s="32" t="inlineStr">
        <is>
          <t>Both scenarios checked</t>
        </is>
      </c>
    </row>
    <row r="6" ht="15" customHeight="1" s="1">
      <c r="A6" s="32" t="inlineStr">
        <is>
          <t>Commercial costs tie</t>
        </is>
      </c>
      <c r="B6" s="32" t="inlineStr">
        <is>
          <t>Commercial costs = promo + media + CRM/ritual</t>
        </is>
      </c>
      <c r="C6" s="32">
        <f>IF(ABS('P&amp;L сравнение'!B26-SUM('P&amp;L сравнение'!B23:B25))+ABS('P&amp;L сравнение'!C26-SUM('P&amp;L сравнение'!C23:C25))&lt;1,"PASS","FAIL")</f>
        <v/>
      </c>
      <c r="D6" s="32" t="inlineStr">
        <is>
          <t>Both scenarios checked</t>
        </is>
      </c>
    </row>
    <row r="7" ht="15" customHeight="1" s="1">
      <c r="A7" s="32" t="inlineStr">
        <is>
          <t>Contribution tie</t>
        </is>
      </c>
      <c r="B7" s="32" t="inlineStr">
        <is>
          <t>Contribution = gross profit - commercial costs</t>
        </is>
      </c>
      <c r="C7" s="32">
        <f>IF(ABS('P&amp;L сравнение'!B27-('P&amp;L сравнение'!B20-'P&amp;L сравнение'!B26))+ABS('P&amp;L сравнение'!C27-('P&amp;L сравнение'!C20-'P&amp;L сравнение'!C26))&lt;1,"PASS","FAIL")</f>
        <v/>
      </c>
      <c r="D7" s="32" t="inlineStr">
        <is>
          <t>Both scenarios checked</t>
        </is>
      </c>
    </row>
    <row r="8" ht="15" customHeight="1" s="1">
      <c r="A8" s="32" t="inlineStr">
        <is>
          <t>Operating profit tie</t>
        </is>
      </c>
      <c r="B8" s="32" t="inlineStr">
        <is>
          <t>Operating profit = contribution - fixed marketing</t>
        </is>
      </c>
      <c r="C8" s="32">
        <f>IF(ABS('P&amp;L сравнение'!B30-('P&amp;L сравнение'!B27-'P&amp;L сравнение'!B29))+ABS('P&amp;L сравнение'!C30-('P&amp;L сравнение'!C27-'P&amp;L сравнение'!C29))&lt;1,"PASS","FAIL")</f>
        <v/>
      </c>
      <c r="D8" s="32" t="inlineStr">
        <is>
          <t>Both scenarios checked</t>
        </is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2026-07-20T16:43:49Z</dcterms:created>
  <dcterms:modified xmlns:dcterms="http://purl.org/dc/terms/" xmlns:xsi="http://www.w3.org/2001/XMLSchema-instance" xsi:type="dcterms:W3CDTF">2026-07-20T16:43:49Z</dcterms:modified>
</cp:coreProperties>
</file>