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591819242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Итог" sheetId="1" r:id="R0ff233fac22541a9"/>
    <x:sheet xmlns:r="http://schemas.openxmlformats.org/officeDocument/2006/relationships" name="01_Ритм" sheetId="2" r:id="R71cf1f2f7cf34a8a"/>
    <x:sheet xmlns:r="http://schemas.openxmlformats.org/officeDocument/2006/relationships" name="02_Метрики" sheetId="3" r:id="Rbc6e49575524452d"/>
    <x:sheet xmlns:r="http://schemas.openxmlformats.org/officeDocument/2006/relationships" name="03_Риски" sheetId="4" r:id="R48809bd6c27b4e80"/>
    <x:sheet xmlns:r="http://schemas.openxmlformats.org/officeDocument/2006/relationships" name="04_Решения" sheetId="5" r:id="R797064943a684ed0"/>
    <x:sheet xmlns:r="http://schemas.openxmlformats.org/officeDocument/2006/relationships" name="05_Gate" sheetId="6" r:id="Rb400700e327f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3">
    <x:font>
      <x:sz val="11"/>
      <x:name val="Carlito"/>
    </x:font>
    <x:font>
      <x:sz val="9"/>
      <x:color rgb="FF111827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AF7F1"/>
      </x:patternFill>
    </x:fill>
    <x:fill>
      <x:patternFill patternType="solid">
        <x:fgColor rgb="FFF3EBDD"/>
      </x:patternFill>
    </x:fill>
  </x:fills>
  <x:borders count="2">
    <x:border/>
    <x:border>
      <x:left style="thin">
        <x:color rgb="FFD8CFC3"/>
      </x:left>
      <x:right style="thin">
        <x:color rgb="FFD8CFC3"/>
      </x:right>
      <x:top style="thin">
        <x:color rgb="FFD8CFC3"/>
      </x:top>
      <x:bottom style="thin">
        <x:color rgb="FFD8CFC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9a4edb6234815" /><Relationship Type="http://schemas.openxmlformats.org/officeDocument/2006/relationships/theme" Target="/xl/theme/theme1.xml" Id="Rbfc75935fcaf42f8" /><Relationship Type="http://schemas.openxmlformats.org/officeDocument/2006/relationships/sharedStrings" Target="/xl/sharedStrings.xml" Id="R79ccee9a45894349" /><Relationship Type="http://schemas.openxmlformats.org/officeDocument/2006/relationships/worksheet" Target="/xl/worksheets/sheet1.xml" Id="R0ff233fac22541a9" /><Relationship Type="http://schemas.openxmlformats.org/officeDocument/2006/relationships/worksheet" Target="/xl/worksheets/sheet2.xml" Id="R71cf1f2f7cf34a8a" /><Relationship Type="http://schemas.openxmlformats.org/officeDocument/2006/relationships/worksheet" Target="/xl/worksheets/sheet3.xml" Id="Rbc6e49575524452d" /><Relationship Type="http://schemas.openxmlformats.org/officeDocument/2006/relationships/worksheet" Target="/xl/worksheets/sheet4.xml" Id="R48809bd6c27b4e80" /><Relationship Type="http://schemas.openxmlformats.org/officeDocument/2006/relationships/worksheet" Target="/xl/worksheets/sheet5.xml" Id="R797064943a684ed0" /><Relationship Type="http://schemas.openxmlformats.org/officeDocument/2006/relationships/worksheet" Target="/xl/worksheets/sheet6.xml" Id="Rb400700e327f4d7e" /></Relationships>
</file>

<file path=xl/tables/table1.xml><?xml version="1.0" encoding="utf-8"?>
<x:table xmlns:x="http://schemas.openxmlformats.org/spreadsheetml/2006/main" id="1" name="AdvisorySummaryTable" displayName="AdvisorySummaryTable" ref="A1:B11" headerRowCount="1" totalsRowCount="0" totalsRowShown="0">
  <x:autoFilter ref="A1:B11"/>
  <x:tableColumns count="2">
    <x:tableColumn id="1" name="Параметр"/>
    <x:tableColumn id="2" name="Зна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visoryRhythmTable" displayName="AdvisoryRhythmTable" ref="A1:I13" headerRowCount="1" totalsRowCount="0" totalsRowShown="0">
  <x:autoFilter ref="A1:I13"/>
  <x:tableColumns count="9">
    <x:tableColumn id="1" name="ID"/>
    <x:tableColumn id="2" name="Период"/>
    <x:tableColumn id="3" name="Фокус"/>
    <x:tableColumn id="4" name="Действие"/>
    <x:tableColumn id="5" name="Выход"/>
    <x:tableColumn id="6" name="Владелец"/>
    <x:tableColumn id="7" name="Срок"/>
    <x:tableColumn id="8" name="Статус"/>
    <x:tableColumn id="9" name="Комментар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visoryMetricsTable" displayName="AdvisoryMetricsTable" ref="A1:F8" headerRowCount="1" totalsRowCount="0" totalsRowShown="0">
  <x:autoFilter ref="A1:F8"/>
  <x:tableColumns count="6">
    <x:tableColumn id="1" name="Метрика"/>
    <x:tableColumn id="2" name="Единица"/>
    <x:tableColumn id="3" name="Baseline"/>
    <x:tableColumn id="4" name="Текущий факт"/>
    <x:tableColumn id="5" name="Зачем нужна"/>
    <x:tableColumn id="6" name="Ограниче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dvisoryRisksTable" displayName="AdvisoryRisksTable" ref="A1:G6" headerRowCount="1" totalsRowCount="0" totalsRowShown="0">
  <x:autoFilter ref="A1:G6"/>
  <x:tableColumns count="7">
    <x:tableColumn id="1" name="ID"/>
    <x:tableColumn id="2" name="Контур"/>
    <x:tableColumn id="3" name="Риск"/>
    <x:tableColumn id="4" name="Влияние"/>
    <x:tableColumn id="5" name="Владелец"/>
    <x:tableColumn id="6" name="Уровень"/>
    <x:tableColumn id="7" name="Реакци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visoryDecisionsTable" displayName="AdvisoryDecisionsTable" ref="A1:H5" headerRowCount="1" totalsRowCount="0" totalsRowShown="0">
  <x:autoFilter ref="A1:H5"/>
  <x:tableColumns count="8">
    <x:tableColumn id="1" name="ID"/>
    <x:tableColumn id="2" name="Момент"/>
    <x:tableColumn id="3" name="Решение"/>
    <x:tableColumn id="4" name="Владелец"/>
    <x:tableColumn id="5" name="Срок"/>
    <x:tableColumn id="6" name="Факт"/>
    <x:tableColumn id="7" name="Статус"/>
    <x:tableColumn id="8" name="Контрол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dvisoryGateTable" displayName="AdvisoryGateTable" ref="A1:D7" headerRowCount="1" totalsRowCount="0" totalsRowShown="0">
  <x:autoFilter ref="A1:D7"/>
  <x:tableColumns count="4">
    <x:tableColumn id="1" name="Gate"/>
    <x:tableColumn id="2" name="Вопрос"/>
    <x:tableColumn id="3" name="Факт / комментарий"/>
    <x:tableColumn id="4" name="Реш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fb487ad2714e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d0ec66db4a40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3a93c619f844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d8dd0c341c43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525c2140c34f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8ab7a19901240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2" hidden="0" customWidth="1"/>
  </x:cols>
  <x:sheetData>
    <x:row r="1" ht="34" customHeight="1">
      <x:c r="A1" s="8" t="str">
        <x:v>Параметр</x:v>
      </x:c>
      <x:c r="B1" s="8" t="str">
        <x:v>Значение</x:v>
      </x:c>
    </x:row>
    <x:row r="2">
      <x:c r="A2" s="9" t="str">
        <x:v>Технология</x:v>
      </x:c>
      <x:c r="B2" s="9" t="str">
        <x:v>Повторяемый спрос</x:v>
      </x:c>
    </x:row>
    <x:row r="3">
      <x:c r="A3" s="9" t="str">
        <x:v>Этап</x:v>
      </x:c>
      <x:c r="B3" s="9" t="str">
        <x:v>Сопровождение</x:v>
      </x:c>
    </x:row>
    <x:row r="4">
      <x:c r="A4" s="9" t="str">
        <x:v>Назначение файла</x:v>
      </x:c>
      <x:c r="B4" s="9" t="str">
        <x:v>Трекер регулярного управленческого ритма после внедрения архитектуры повторяемого спроса.</x:v>
      </x:c>
    </x:row>
    <x:row r="5">
      <x:c r="A5" s="9" t="str">
        <x:v>Формула ядра</x:v>
      </x:c>
      <x:c r="B5" s="9" t="str">
        <x:v>мотив -&gt; сцена -&gt; ритуал -&gt; сигнал -&gt; повторяемость -&gt; финансовый эффект</x:v>
      </x:c>
    </x:row>
    <x:row r="6">
      <x:c r="A6" s="10" t="str">
        <x:v>Циклов сопровождения</x:v>
      </x:c>
      <x:c r="B6" s="11" t="n">
        <x:f>COUNTA('01_Ритм'!A2:A13)</x:f>
        <x:v>12</x:v>
      </x:c>
    </x:row>
    <x:row r="7">
      <x:c r="A7" s="10" t="str">
        <x:v>Циклов завершено</x:v>
      </x:c>
      <x:c r="B7" s="11" t="n">
        <x:f>COUNTIF('01_Ритм'!H2:H13,"завершено")</x:f>
        <x:v>0</x:v>
      </x:c>
    </x:row>
    <x:row r="8">
      <x:c r="A8" s="10" t="str">
        <x:v>Критических рисков</x:v>
      </x:c>
      <x:c r="B8" s="11" t="n">
        <x:f>COUNTIF('03_Риски'!F2:F25,"критический")</x:f>
        <x:v>2</x:v>
      </x:c>
    </x:row>
    <x:row r="9">
      <x:c r="A9" s="10" t="str">
        <x:v>Решений просрочено</x:v>
      </x:c>
      <x:c r="B9" s="11" t="n">
        <x:f>COUNTIF('04_Решения'!H2:H25,"просрочено")</x:f>
        <x:v>0</x:v>
      </x:c>
    </x:row>
    <x:row r="10">
      <x:c r="A10" s="10" t="str">
        <x:v>Готовность ритма</x:v>
      </x:c>
      <x:c r="B10" s="12" t="n">
        <x:f>IF(B6=0,0,B7/B6)</x:f>
        <x:v>0</x:v>
      </x:c>
    </x:row>
    <x:row r="11">
      <x:c r="A11" s="10" t="str">
        <x:v>Рекомендация gate</x:v>
      </x:c>
      <x:c r="B11" s="10" t="str">
        <x:f>IF(OR(B8&gt;0,B9&gt;0),"Conditional, продолжать при условиях",IF(B10&gt;=0.75,"Continue, продолжать","Conditional, продолжать при условиях"))</x:f>
        <x:v>Conditional, продолжать при условиях</x:v>
      </x:c>
    </x:row>
  </x:sheetData>
  <x:pageMargins left="0.7" right="0.7" top="0.75" bottom="0.75" header="0.3" footer="0.3"/>
  <x:tableParts count="1">
    <x:tablePart xmlns:r="http://schemas.openxmlformats.org/officeDocument/2006/relationships" r:id="R3cfb487ad2714e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22" hidden="0" customWidth="1"/>
    <x:col min="4" max="4" width="60" hidden="0" customWidth="1"/>
    <x:col min="5" max="5" width="34" hidden="0" customWidth="1"/>
    <x:col min="6" max="6" width="24" hidden="0" customWidth="1"/>
    <x:col min="7" max="7" width="16" hidden="0" customWidth="1"/>
    <x:col min="8" max="8" width="18" hidden="0" customWidth="1"/>
    <x:col min="9" max="9" width="48" hidden="0" customWidth="1"/>
  </x:cols>
  <x:sheetData>
    <x:row r="1" ht="34" customHeight="1">
      <x:c r="A1" s="8" t="str">
        <x:v>ID</x:v>
      </x:c>
      <x:c r="B1" s="8" t="str">
        <x:v>Период</x:v>
      </x:c>
      <x:c r="C1" s="8" t="str">
        <x:v>Фокус</x:v>
      </x:c>
      <x:c r="D1" s="8" t="str">
        <x:v>Действие</x:v>
      </x:c>
      <x:c r="E1" s="8" t="str">
        <x:v>Выход</x:v>
      </x:c>
      <x:c r="F1" s="8" t="str">
        <x:v>Владелец</x:v>
      </x:c>
      <x:c r="G1" s="8" t="str">
        <x:v>Срок</x:v>
      </x:c>
      <x:c r="H1" s="8" t="str">
        <x:v>Статус</x:v>
      </x:c>
      <x:c r="I1" s="8" t="str">
        <x:v>Комментарий</x:v>
      </x:c>
    </x:row>
    <x:row r="2">
      <x:c r="A2" s="4" t="str">
        <x:v>M01</x:v>
      </x:c>
      <x:c r="B2" s="4" t="str">
        <x:v>месяц 1</x:v>
      </x:c>
      <x:c r="C2" s="4" t="str">
        <x:v>Контроль запуска</x:v>
      </x:c>
      <x:c r="D2" s="4" t="str">
        <x:v>Снять статус задач, владельцев, метрик и рисков после Спринта.</x:v>
      </x:c>
      <x:c r="E2" s="4" t="str">
        <x:v>Обновленный baseline и список решений</x:v>
      </x:c>
      <x:c r="F2" s="4" t="str">
        <x:v>Project owner</x:v>
      </x:c>
      <x:c r="G2" s="4" t="str">
        <x:v>неделя 1</x:v>
      </x:c>
      <x:c r="H2" s="4" t="str">
        <x:v>не начато</x:v>
      </x:c>
      <x:c r="I2" s="4" t="str"/>
    </x:row>
    <x:row r="3">
      <x:c r="A3" s="4" t="str">
        <x:v>M02</x:v>
      </x:c>
      <x:c r="B3" s="4" t="str">
        <x:v>месяц 1</x:v>
      </x:c>
      <x:c r="C3" s="4" t="str">
        <x:v>Поведение</x:v>
      </x:c>
      <x:c r="D3" s="4" t="str">
        <x:v>Проверить сцены, ритуал, сигнал и первые признаки повторяемости.</x:v>
      </x:c>
      <x:c r="E3" s="4" t="str">
        <x:v>Список корректировок</x:v>
      </x:c>
      <x:c r="F3" s="4" t="str">
        <x:v>Marketing lead</x:v>
      </x:c>
      <x:c r="G3" s="4" t="str">
        <x:v>неделя 2</x:v>
      </x:c>
      <x:c r="H3" s="4" t="str">
        <x:v>не начато</x:v>
      </x:c>
      <x:c r="I3" s="4" t="str"/>
    </x:row>
    <x:row r="4">
      <x:c r="A4" s="4" t="str">
        <x:v>M03</x:v>
      </x:c>
      <x:c r="B4" s="4" t="str">
        <x:v>месяц 1</x:v>
      </x:c>
      <x:c r="C4" s="4" t="str">
        <x:v>Экономика</x:v>
      </x:c>
      <x:c r="D4" s="4" t="str">
        <x:v>Проверить маржу, промо-долю, CAC, стоимость привлечения клиента, LTV, пожизненную ценность клиента.</x:v>
      </x:c>
      <x:c r="E4" s="4" t="str">
        <x:v>Финансовые гипотезы</x:v>
      </x:c>
      <x:c r="F4" s="4" t="str">
        <x:v>Data / finance</x:v>
      </x:c>
      <x:c r="G4" s="4" t="str">
        <x:v>неделя 3</x:v>
      </x:c>
      <x:c r="H4" s="4" t="str">
        <x:v>не начато</x:v>
      </x:c>
      <x:c r="I4" s="4" t="str"/>
    </x:row>
    <x:row r="5">
      <x:c r="A5" s="4" t="str">
        <x:v>M04</x:v>
      </x:c>
      <x:c r="B5" s="4" t="str">
        <x:v>месяц 1</x:v>
      </x:c>
      <x:c r="C5" s="4" t="str">
        <x:v>C-level review</x:v>
      </x:c>
      <x:c r="D5" s="4" t="str">
        <x:v>Принять решения по следующему циклу.</x:v>
      </x:c>
      <x:c r="E5" s="4" t="str">
        <x:v>Gate-решение</x:v>
      </x:c>
      <x:c r="F5" s="4" t="str">
        <x:v>C-level sponsor</x:v>
      </x:c>
      <x:c r="G5" s="4" t="str">
        <x:v>неделя 4</x:v>
      </x:c>
      <x:c r="H5" s="4" t="str">
        <x:v>не начато</x:v>
      </x:c>
      <x:c r="I5" s="4" t="str"/>
    </x:row>
    <x:row r="6">
      <x:c r="A6" s="4" t="str">
        <x:v>M05</x:v>
      </x:c>
      <x:c r="B6" s="4" t="str">
        <x:v>месяц 2</x:v>
      </x:c>
      <x:c r="C6" s="4" t="str">
        <x:v>Контроль внедрения</x:v>
      </x:c>
      <x:c r="D6" s="4" t="str">
        <x:v>Проверить выполнение решений прошлого цикла.</x:v>
      </x:c>
      <x:c r="E6" s="4" t="str">
        <x:v>Обновленный трекер решений</x:v>
      </x:c>
      <x:c r="F6" s="4" t="str">
        <x:v>Project owner</x:v>
      </x:c>
      <x:c r="G6" s="4" t="str">
        <x:v>неделя 5</x:v>
      </x:c>
      <x:c r="H6" s="4" t="str">
        <x:v>не начато</x:v>
      </x:c>
      <x:c r="I6" s="4" t="str"/>
    </x:row>
    <x:row r="7">
      <x:c r="A7" s="4" t="str">
        <x:v>M06</x:v>
      </x:c>
      <x:c r="B7" s="4" t="str">
        <x:v>месяц 2</x:v>
      </x:c>
      <x:c r="C7" s="4" t="str">
        <x:v>Поведение</x:v>
      </x:c>
      <x:c r="D7" s="4" t="str">
        <x:v>Проверить ритуал, сигнал, канал и повторные действия клиентов.</x:v>
      </x:c>
      <x:c r="E7" s="4" t="str">
        <x:v>Факты повторяемости</x:v>
      </x:c>
      <x:c r="F7" s="4" t="str">
        <x:v>Marketing lead</x:v>
      </x:c>
      <x:c r="G7" s="4" t="str">
        <x:v>неделя 6</x:v>
      </x:c>
      <x:c r="H7" s="4" t="str">
        <x:v>не начато</x:v>
      </x:c>
      <x:c r="I7" s="4" t="str"/>
    </x:row>
    <x:row r="8">
      <x:c r="A8" s="4" t="str">
        <x:v>M07</x:v>
      </x:c>
      <x:c r="B8" s="4" t="str">
        <x:v>месяц 2</x:v>
      </x:c>
      <x:c r="C8" s="4" t="str">
        <x:v>Риски</x:v>
      </x:c>
      <x:c r="D8" s="4" t="str">
        <x:v>Разобрать критические разрывы продукта, сервиса, канала или данных.</x:v>
      </x:c>
      <x:c r="E8" s="4" t="str">
        <x:v>Риск-план</x:v>
      </x:c>
      <x:c r="F8" s="4" t="str">
        <x:v>Project owner</x:v>
      </x:c>
      <x:c r="G8" s="4" t="str">
        <x:v>неделя 7</x:v>
      </x:c>
      <x:c r="H8" s="4" t="str">
        <x:v>не начато</x:v>
      </x:c>
      <x:c r="I8" s="4" t="str"/>
    </x:row>
    <x:row r="9">
      <x:c r="A9" s="4" t="str">
        <x:v>M08</x:v>
      </x:c>
      <x:c r="B9" s="4" t="str">
        <x:v>месяц 2</x:v>
      </x:c>
      <x:c r="C9" s="4" t="str">
        <x:v>C-level review</x:v>
      </x:c>
      <x:c r="D9" s="4" t="str">
        <x:v>Принять решение: продолжать, донастроить, сузить фокус или остановить.</x:v>
      </x:c>
      <x:c r="E9" s="4" t="str">
        <x:v>Gate-решение</x:v>
      </x:c>
      <x:c r="F9" s="4" t="str">
        <x:v>C-level sponsor</x:v>
      </x:c>
      <x:c r="G9" s="4" t="str">
        <x:v>неделя 8</x:v>
      </x:c>
      <x:c r="H9" s="4" t="str">
        <x:v>не начато</x:v>
      </x:c>
      <x:c r="I9" s="4" t="str"/>
    </x:row>
    <x:row r="10">
      <x:c r="A10" s="4" t="str">
        <x:v>M09</x:v>
      </x:c>
      <x:c r="B10" s="4" t="str">
        <x:v>месяц 3</x:v>
      </x:c>
      <x:c r="C10" s="4" t="str">
        <x:v>Масштабирование</x:v>
      </x:c>
      <x:c r="D10" s="4" t="str">
        <x:v>Проверить, какие элементы можно расширять без потери управляемости.</x:v>
      </x:c>
      <x:c r="E10" s="4" t="str">
        <x:v>Правила масштабирования</x:v>
      </x:c>
      <x:c r="F10" s="4" t="str">
        <x:v>C-level sponsor</x:v>
      </x:c>
      <x:c r="G10" s="4" t="str">
        <x:v>неделя 9</x:v>
      </x:c>
      <x:c r="H10" s="4" t="str">
        <x:v>не начато</x:v>
      </x:c>
      <x:c r="I10" s="4" t="str"/>
    </x:row>
    <x:row r="11">
      <x:c r="A11" s="4" t="str">
        <x:v>M10</x:v>
      </x:c>
      <x:c r="B11" s="4" t="str">
        <x:v>месяц 3</x:v>
      </x:c>
      <x:c r="C11" s="4" t="str">
        <x:v>Метрики</x:v>
      </x:c>
      <x:c r="D11" s="4" t="str">
        <x:v>Сверить динамику повторяемости и финансовых гипотез.</x:v>
      </x:c>
      <x:c r="E11" s="4" t="str">
        <x:v>Обновленный отчет</x:v>
      </x:c>
      <x:c r="F11" s="4" t="str">
        <x:v>Data / finance</x:v>
      </x:c>
      <x:c r="G11" s="4" t="str">
        <x:v>неделя 10</x:v>
      </x:c>
      <x:c r="H11" s="4" t="str">
        <x:v>не начато</x:v>
      </x:c>
      <x:c r="I11" s="4" t="str"/>
    </x:row>
    <x:row r="12">
      <x:c r="A12" s="4" t="str">
        <x:v>M11</x:v>
      </x:c>
      <x:c r="B12" s="4" t="str">
        <x:v>месяц 3</x:v>
      </x:c>
      <x:c r="C12" s="4" t="str">
        <x:v>Передача</x:v>
      </x:c>
      <x:c r="D12" s="4" t="str">
        <x:v>Оценить, что команда клиента может вести самостоятельно.</x:v>
      </x:c>
      <x:c r="E12" s="4" t="str">
        <x:v>План передачи</x:v>
      </x:c>
      <x:c r="F12" s="4" t="str">
        <x:v>Project owner</x:v>
      </x:c>
      <x:c r="G12" s="4" t="str">
        <x:v>неделя 11</x:v>
      </x:c>
      <x:c r="H12" s="4" t="str">
        <x:v>не начато</x:v>
      </x:c>
      <x:c r="I12" s="4" t="str"/>
    </x:row>
    <x:row r="13">
      <x:c r="A13" s="4" t="str">
        <x:v>M12</x:v>
      </x:c>
      <x:c r="B13" s="4" t="str">
        <x:v>месяц 3</x:v>
      </x:c>
      <x:c r="C13" s="4" t="str">
        <x:v>Квартальный gate</x:v>
      </x:c>
      <x:c r="D13" s="4" t="str">
        <x:v>Принять решение о продлении, изменении формата или завершении.</x:v>
      </x:c>
      <x:c r="E13" s="4" t="str">
        <x:v>Continue / Conditional / Exit / Stop</x:v>
      </x:c>
      <x:c r="F13" s="4" t="str">
        <x:v>C-level sponsor</x:v>
      </x:c>
      <x:c r="G13" s="4" t="str">
        <x:v>неделя 12</x:v>
      </x:c>
      <x:c r="H13" s="4" t="str">
        <x:v>не начато</x:v>
      </x:c>
      <x:c r="I13" s="4" t="str"/>
    </x:row>
  </x:sheetData>
  <x:conditionalFormatting sqref="H2:H13">
    <x:cfRule type="containsText" dxfId="0" priority="1" operator="containsText" text="завершено"/>
    <x:cfRule type="containsText" dxfId="1" priority="2" operator="containsText" text="заблокировано"/>
  </x:conditionalFormatting>
  <x:dataValidations count="1">
    <x:dataValidation type="list" sqref="H2:H13">
      <x:formula1>"не начато,в работе,завершено,заблокировано"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d0ec66db4a40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20" hidden="0" customWidth="1"/>
    <x:col min="4" max="4" width="20" hidden="0" customWidth="1"/>
    <x:col min="5" max="5" width="54" hidden="0" customWidth="1"/>
    <x:col min="6" max="6" width="52" hidden="0" customWidth="1"/>
  </x:cols>
  <x:sheetData>
    <x:row r="1" ht="34" customHeight="1">
      <x:c r="A1" s="8" t="str">
        <x:v>Метрика</x:v>
      </x:c>
      <x:c r="B1" s="8" t="str">
        <x:v>Единица</x:v>
      </x:c>
      <x:c r="C1" s="8" t="str">
        <x:v>Baseline</x:v>
      </x:c>
      <x:c r="D1" s="8" t="str">
        <x:v>Текущий факт</x:v>
      </x:c>
      <x:c r="E1" s="8" t="str">
        <x:v>Зачем нужна</x:v>
      </x:c>
      <x:c r="F1" s="8" t="str">
        <x:v>Ограничение</x:v>
      </x:c>
    </x:row>
    <x:row r="2">
      <x:c r="A2" s="4" t="str">
        <x:v>Повторная покупка</x:v>
      </x:c>
      <x:c r="B2" s="4" t="str">
        <x:v>% / раз</x:v>
      </x:c>
      <x:c r="C2" s="4" t="str"/>
      <x:c r="D2" s="4" t="str"/>
      <x:c r="E2" s="4" t="str">
        <x:v>Связь с повторяемым поведением.</x:v>
      </x:c>
      <x:c r="F2" s="4" t="str">
        <x:v>Не считать по промо-всплеску.</x:v>
      </x:c>
    </x:row>
    <x:row r="3">
      <x:c r="A3" s="4" t="str">
        <x:v>Частота покупки</x:v>
      </x:c>
      <x:c r="B3" s="4" t="str">
        <x:v>раз / период</x:v>
      </x:c>
      <x:c r="C3" s="4" t="str"/>
      <x:c r="D3" s="4" t="str"/>
      <x:c r="E3" s="4" t="str">
        <x:v>Проверяет регулярность сцены и ритуала.</x:v>
      </x:c>
      <x:c r="F3" s="4" t="str">
        <x:v>Нужен сопоставимый период.</x:v>
      </x:c>
    </x:row>
    <x:row r="4">
      <x:c r="A4" s="4" t="str">
        <x:v>Промо-доля</x:v>
      </x:c>
      <x:c r="B4" s="4" t="str">
        <x:v>%</x:v>
      </x:c>
      <x:c r="C4" s="4" t="str"/>
      <x:c r="D4" s="4" t="str"/>
      <x:c r="E4" s="4" t="str">
        <x:v>Показывает зависимость от разового спроса.</x:v>
      </x:c>
      <x:c r="F4" s="4" t="str">
        <x:v>Не обещать снижение без модели.</x:v>
      </x:c>
    </x:row>
    <x:row r="5">
      <x:c r="A5" s="4" t="str">
        <x:v>Маржа</x:v>
      </x:c>
      <x:c r="B5" s="4" t="str">
        <x:v>% / руб.</x:v>
      </x:c>
      <x:c r="C5" s="4" t="str"/>
      <x:c r="D5" s="4" t="str"/>
      <x:c r="E5" s="4" t="str">
        <x:v>Проверяет экономический смысл повторяемости.</x:v>
      </x:c>
      <x:c r="F5" s="4" t="str">
        <x:v>Использовать только с данными клиента.</x:v>
      </x:c>
    </x:row>
    <x:row r="6">
      <x:c r="A6" s="4" t="str">
        <x:v>CAC, стоимость привлечения клиента</x:v>
      </x:c>
      <x:c r="B6" s="4" t="str">
        <x:v>руб.</x:v>
      </x:c>
      <x:c r="C6" s="4" t="str"/>
      <x:c r="D6" s="4" t="str"/>
      <x:c r="E6" s="4" t="str">
        <x:v>Показывает цену покупки спроса заново.</x:v>
      </x:c>
      <x:c r="F6" s="4" t="str">
        <x:v>Не обещать снижение без источника данных.</x:v>
      </x:c>
    </x:row>
    <x:row r="7">
      <x:c r="A7" s="4" t="str">
        <x:v>LTV, пожизненная ценность клиента</x:v>
      </x:c>
      <x:c r="B7" s="4" t="str">
        <x:v>руб.</x:v>
      </x:c>
      <x:c r="C7" s="4" t="str"/>
      <x:c r="D7" s="4" t="str"/>
      <x:c r="E7" s="4" t="str">
        <x:v>Показывает долгий эффект повторяемости.</x:v>
      </x:c>
      <x:c r="F7" s="4" t="str">
        <x:v>Считать по согласованной методике.</x:v>
      </x:c>
    </x:row>
    <x:row r="8">
      <x:c r="A8" s="4" t="str">
        <x:v>Churn, отток</x:v>
      </x:c>
      <x:c r="B8" s="4" t="str">
        <x:v>%</x:v>
      </x:c>
      <x:c r="C8" s="4" t="str"/>
      <x:c r="D8" s="4" t="str"/>
      <x:c r="E8" s="4" t="str">
        <x:v>Показывает потерю возврата.</x:v>
      </x:c>
      <x:c r="F8" s="4" t="str">
        <x:v>Применять, если категория допускает расчет.</x:v>
      </x:c>
    </x:row>
  </x:sheetData>
  <x:pageMargins left="0.7" right="0.7" top="0.75" bottom="0.75" header="0.3" footer="0.3"/>
  <x:tableParts count="1">
    <x:tablePart xmlns:r="http://schemas.openxmlformats.org/officeDocument/2006/relationships" r:id="Rc93a93c619f844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62" hidden="0" customWidth="1"/>
    <x:col min="4" max="4" width="18" hidden="0" customWidth="1"/>
    <x:col min="5" max="5" width="24" hidden="0" customWidth="1"/>
    <x:col min="6" max="6" width="18" hidden="0" customWidth="1"/>
    <x:col min="7" max="7" width="48" hidden="0" customWidth="1"/>
  </x:cols>
  <x:sheetData>
    <x:row r="1" ht="34" customHeight="1">
      <x:c r="A1" s="8" t="str">
        <x:v>ID</x:v>
      </x:c>
      <x:c r="B1" s="8" t="str">
        <x:v>Контур</x:v>
      </x:c>
      <x:c r="C1" s="8" t="str">
        <x:v>Риск</x:v>
      </x:c>
      <x:c r="D1" s="8" t="str">
        <x:v>Влияние</x:v>
      </x:c>
      <x:c r="E1" s="8" t="str">
        <x:v>Владелец</x:v>
      </x:c>
      <x:c r="F1" s="8" t="str">
        <x:v>Уровень</x:v>
      </x:c>
      <x:c r="G1" s="8" t="str">
        <x:v>Реакция</x:v>
      </x:c>
    </x:row>
    <x:row r="2">
      <x:c r="A2" s="4" t="str">
        <x:v>R01</x:v>
      </x:c>
      <x:c r="B2" s="4" t="str">
        <x:v>Архитектура</x:v>
      </x:c>
      <x:c r="C2" s="4" t="str">
        <x:v>Команда меняет мотив-ядро без gate.</x:v>
      </x:c>
      <x:c r="D2" s="4" t="str">
        <x:v>Высокий</x:v>
      </x:c>
      <x:c r="E2" s="4" t="str">
        <x:v>Project owner</x:v>
      </x:c>
      <x:c r="F2" s="4" t="str">
        <x:v>средний</x:v>
      </x:c>
      <x:c r="G2" s="4" t="str">
        <x:v>вернуть к gate-решению</x:v>
      </x:c>
    </x:row>
    <x:row r="3">
      <x:c r="A3" s="4" t="str">
        <x:v>R02</x:v>
      </x:c>
      <x:c r="B3" s="4" t="str">
        <x:v>Данные</x:v>
      </x:c>
      <x:c r="C3" s="4" t="str">
        <x:v>Нет baseline или источника метрик.</x:v>
      </x:c>
      <x:c r="D3" s="4" t="str">
        <x:v>Высокий</x:v>
      </x:c>
      <x:c r="E3" s="4" t="str">
        <x:v>Data / finance</x:v>
      </x:c>
      <x:c r="F3" s="4" t="str">
        <x:v>средний</x:v>
      </x:c>
      <x:c r="G3" s="4" t="str">
        <x:v>зафиксировать данные как условие</x:v>
      </x:c>
    </x:row>
    <x:row r="4">
      <x:c r="A4" s="4" t="str">
        <x:v>R03</x:v>
      </x:c>
      <x:c r="B4" s="4" t="str">
        <x:v>Команда</x:v>
      </x:c>
      <x:c r="C4" s="4" t="str">
        <x:v>Нет владельца внедрения.</x:v>
      </x:c>
      <x:c r="D4" s="4" t="str">
        <x:v>Критический</x:v>
      </x:c>
      <x:c r="E4" s="4" t="str">
        <x:v>C-level sponsor</x:v>
      </x:c>
      <x:c r="F4" s="4" t="str">
        <x:v>критический</x:v>
      </x:c>
      <x:c r="G4" s="4" t="str">
        <x:v>не продлевать без владельца</x:v>
      </x:c>
    </x:row>
    <x:row r="5">
      <x:c r="A5" s="4" t="str">
        <x:v>R04</x:v>
      </x:c>
      <x:c r="B5" s="4" t="str">
        <x:v>Маркетинг</x:v>
      </x:c>
      <x:c r="C5" s="4" t="str">
        <x:v>Сопровождение превращается в контент-план.</x:v>
      </x:c>
      <x:c r="D5" s="4" t="str">
        <x:v>Высокий</x:v>
      </x:c>
      <x:c r="E5" s="4" t="str">
        <x:v>Marketing lead</x:v>
      </x:c>
      <x:c r="F5" s="4" t="str">
        <x:v>средний</x:v>
      </x:c>
      <x:c r="G5" s="4" t="str">
        <x:v>вернуть к сценам, ритуалу и сигналу</x:v>
      </x:c>
    </x:row>
    <x:row r="6">
      <x:c r="A6" s="4" t="str">
        <x:v>R05</x:v>
      </x:c>
      <x:c r="B6" s="4" t="str">
        <x:v>Экономика</x:v>
      </x:c>
      <x:c r="C6" s="4" t="str">
        <x:v>Клиент требует финансовых гарантий без модели.</x:v>
      </x:c>
      <x:c r="D6" s="4" t="str">
        <x:v>Критический</x:v>
      </x:c>
      <x:c r="E6" s="4" t="str">
        <x:v>Consultant</x:v>
      </x:c>
      <x:c r="F6" s="4" t="str">
        <x:v>критический</x:v>
      </x:c>
      <x:c r="G6" s="4" t="str">
        <x:v>перевести в гипотезы или остановить</x:v>
      </x:c>
    </x:row>
  </x:sheetData>
  <x:conditionalFormatting sqref="F2:F25">
    <x:cfRule type="containsText" dxfId="2" priority="1" operator="containsText" text="критический"/>
  </x:conditionalFormatting>
  <x:dataValidations count="1">
    <x:dataValidation type="list" sqref="F2:F25">
      <x:formula1>"нет,низкий,средний,критический"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d8dd0c341c43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64" hidden="0" customWidth="1"/>
    <x:col min="4" max="4" width="24" hidden="0" customWidth="1"/>
    <x:col min="5" max="5" width="16" hidden="0" customWidth="1"/>
    <x:col min="6" max="6" width="36" hidden="0" customWidth="1"/>
    <x:col min="7" max="7" width="18" hidden="0" customWidth="1"/>
    <x:col min="8" max="8" width="18" hidden="0" customWidth="1"/>
  </x:cols>
  <x:sheetData>
    <x:row r="1" ht="34" customHeight="1">
      <x:c r="A1" s="8" t="str">
        <x:v>ID</x:v>
      </x:c>
      <x:c r="B1" s="8" t="str">
        <x:v>Момент</x:v>
      </x:c>
      <x:c r="C1" s="8" t="str">
        <x:v>Решение</x:v>
      </x:c>
      <x:c r="D1" s="8" t="str">
        <x:v>Владелец</x:v>
      </x:c>
      <x:c r="E1" s="8" t="str">
        <x:v>Срок</x:v>
      </x:c>
      <x:c r="F1" s="8" t="str">
        <x:v>Факт</x:v>
      </x:c>
      <x:c r="G1" s="8" t="str">
        <x:v>Статус</x:v>
      </x:c>
      <x:c r="H1" s="8" t="str">
        <x:v>Контроль</x:v>
      </x:c>
    </x:row>
    <x:row r="2">
      <x:c r="A2" s="4" t="str">
        <x:v>D01</x:v>
      </x:c>
      <x:c r="B2" s="4" t="str">
        <x:v>C-level review</x:v>
      </x:c>
      <x:c r="C2" s="4" t="str">
        <x:v>Что изменить в ритуале или сигнале?</x:v>
      </x:c>
      <x:c r="D2" s="4" t="str">
        <x:v>Project owner</x:v>
      </x:c>
      <x:c r="E2" s="4" t="str">
        <x:v>неделя 4</x:v>
      </x:c>
      <x:c r="F2" s="4" t="str"/>
      <x:c r="G2" s="4" t="str">
        <x:v>открыто</x:v>
      </x:c>
      <x:c r="H2" s="4" t="str">
        <x:v>в срок</x:v>
      </x:c>
    </x:row>
    <x:row r="3">
      <x:c r="A3" s="4" t="str">
        <x:v>D02</x:v>
      </x:c>
      <x:c r="B3" s="4" t="str">
        <x:v>Метрики</x:v>
      </x:c>
      <x:c r="C3" s="4" t="str">
        <x:v>Какие данные считаем baseline?</x:v>
      </x:c>
      <x:c r="D3" s="4" t="str">
        <x:v>Data / finance</x:v>
      </x:c>
      <x:c r="E3" s="4" t="str">
        <x:v>неделя 4</x:v>
      </x:c>
      <x:c r="F3" s="4" t="str"/>
      <x:c r="G3" s="4" t="str">
        <x:v>открыто</x:v>
      </x:c>
      <x:c r="H3" s="4" t="str">
        <x:v>в срок</x:v>
      </x:c>
    </x:row>
    <x:row r="4">
      <x:c r="A4" s="4" t="str">
        <x:v>D03</x:v>
      </x:c>
      <x:c r="B4" s="4" t="str">
        <x:v>Риски</x:v>
      </x:c>
      <x:c r="C4" s="4" t="str">
        <x:v>Какие разрывы блокируют следующий цикл?</x:v>
      </x:c>
      <x:c r="D4" s="4" t="str">
        <x:v>C-level sponsor</x:v>
      </x:c>
      <x:c r="E4" s="4" t="str">
        <x:v>неделя 8</x:v>
      </x:c>
      <x:c r="F4" s="4" t="str"/>
      <x:c r="G4" s="4" t="str">
        <x:v>открыто</x:v>
      </x:c>
      <x:c r="H4" s="4" t="str">
        <x:v>в срок</x:v>
      </x:c>
    </x:row>
    <x:row r="5">
      <x:c r="A5" s="4" t="str">
        <x:v>D04</x:v>
      </x:c>
      <x:c r="B5" s="4" t="str">
        <x:v>Gate</x:v>
      </x:c>
      <x:c r="C5" s="4" t="str">
        <x:v>Продлевать, донастраивать, завершать или останавливать?</x:v>
      </x:c>
      <x:c r="D5" s="4" t="str">
        <x:v>C-level sponsor</x:v>
      </x:c>
      <x:c r="E5" s="4" t="str">
        <x:v>неделя 12</x:v>
      </x:c>
      <x:c r="F5" s="4" t="str"/>
      <x:c r="G5" s="4" t="str">
        <x:v>открыто</x:v>
      </x:c>
      <x:c r="H5" s="4" t="str">
        <x:v>в срок</x:v>
      </x:c>
    </x:row>
  </x:sheetData>
  <x:conditionalFormatting sqref="H2:H25">
    <x:cfRule type="containsText" dxfId="3" priority="1" operator="containsText" text="просрочено"/>
  </x:conditionalFormatting>
  <x:dataValidations count="2">
    <x:dataValidation type="list" sqref="G2:G25">
      <x:formula1>"открыто,закрыто,отложено"</x:formula1>
    </x:dataValidation>
    <x:dataValidation type="list" sqref="H2:H25">
      <x:formula1>"в срок,просрочено"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525c2140c34f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64" hidden="0" customWidth="1"/>
    <x:col min="4" max="4" width="28" hidden="0" customWidth="1"/>
  </x:cols>
  <x:sheetData>
    <x:row r="1" ht="34" customHeight="1">
      <x:c r="A1" s="8" t="str">
        <x:v>Gate</x:v>
      </x:c>
      <x:c r="B1" s="8" t="str">
        <x:v>Вопрос</x:v>
      </x:c>
      <x:c r="C1" s="8" t="str">
        <x:v>Факт / комментарий</x:v>
      </x:c>
      <x:c r="D1" s="8" t="str">
        <x:v>Решение</x:v>
      </x:c>
    </x:row>
    <x:row r="2">
      <x:c r="A2" s="4" t="str">
        <x:v>A1. Объект</x:v>
      </x:c>
      <x:c r="B2" s="4" t="str">
        <x:v>Есть ли что сопровождать?</x:v>
      </x:c>
      <x:c r="C2" s="4" t="str"/>
      <x:c r="D2" s="4" t="str">
        <x:v>Continue / Conditional / Exit / Stop</x:v>
      </x:c>
    </x:row>
    <x:row r="3">
      <x:c r="A3" s="4" t="str">
        <x:v>A2. Владельцы</x:v>
      </x:c>
      <x:c r="B3" s="4" t="str">
        <x:v>Есть ли управленческие владельцы?</x:v>
      </x:c>
      <x:c r="C3" s="4" t="str"/>
      <x:c r="D3" s="4" t="str">
        <x:v>Continue / Conditional / Exit / Stop</x:v>
      </x:c>
    </x:row>
    <x:row r="4">
      <x:c r="A4" s="4" t="str">
        <x:v>A3. Поведение</x:v>
      </x:c>
      <x:c r="B4" s="4" t="str">
        <x:v>Видны ли признаки повторяемости?</x:v>
      </x:c>
      <x:c r="C4" s="4" t="str"/>
      <x:c r="D4" s="4" t="str">
        <x:v>Continue / Conditional / Exit / Stop</x:v>
      </x:c>
    </x:row>
    <x:row r="5">
      <x:c r="A5" s="4" t="str">
        <x:v>A4. Данные</x:v>
      </x:c>
      <x:c r="B5" s="4" t="str">
        <x:v>Можно ли видеть эффект?</x:v>
      </x:c>
      <x:c r="C5" s="4" t="str"/>
      <x:c r="D5" s="4" t="str">
        <x:v>Continue / Conditional / Exit / Stop</x:v>
      </x:c>
    </x:row>
    <x:row r="6">
      <x:c r="A6" s="4" t="str">
        <x:v>A5. Экономика</x:v>
      </x:c>
      <x:c r="B6" s="4" t="str">
        <x:v>Сохраняется ли связь с маржей и LTV?</x:v>
      </x:c>
      <x:c r="C6" s="4" t="str"/>
      <x:c r="D6" s="4" t="str">
        <x:v>Continue / Conditional / Exit / Stop</x:v>
      </x:c>
    </x:row>
    <x:row r="7">
      <x:c r="A7" s="4" t="str">
        <x:v>A6. Риски</x:v>
      </x:c>
      <x:c r="B7" s="4" t="str">
        <x:v>Управляются ли разрывы?</x:v>
      </x:c>
      <x:c r="C7" s="4" t="str"/>
      <x:c r="D7" s="4" t="str">
        <x:v>Continue / Conditional / Exit / Stop</x:v>
      </x:c>
    </x:row>
  </x:sheetData>
  <x:dataValidations count="1">
    <x:dataValidation type="list" sqref="D2:D7">
      <x:formula1>"Continue,Conditional,Exit,Stop"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ab7a1990124034"/>
  </x:tableParts>
</x:worksheet>
</file>